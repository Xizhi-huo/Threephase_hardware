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promise/Downloads/3/Intership/ThreePhase_entier/Threephase_hardware/docs/"/>
    </mc:Choice>
  </mc:AlternateContent>
  <xr:revisionPtr revIDLastSave="0" documentId="13_ncr:1_{24961785-6C98-F846-AC79-A461D00CCE51}" xr6:coauthVersionLast="47" xr6:coauthVersionMax="47" xr10:uidLastSave="{00000000-0000-0000-0000-000000000000}"/>
  <bookViews>
    <workbookView xWindow="0" yWindow="500" windowWidth="28800" windowHeight="16040" activeTab="6" xr2:uid="{00000000-000D-0000-FFFF-FFFF00000000}"/>
  </bookViews>
  <sheets>
    <sheet name="00_总览" sheetId="1" r:id="rId1"/>
    <sheet name="00_优先范围" sheetId="2" r:id="rId2"/>
    <sheet name="01_IO点表" sheetId="3" r:id="rId3"/>
    <sheet name="02_适配层字段建议" sheetId="4" r:id="rId4"/>
    <sheet name="03_安全与闭锁" sheetId="5" r:id="rId5"/>
    <sheet name="04_V1验收用例" sheetId="6" r:id="rId6"/>
    <sheet name="05_术语与取值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<sst xmlns="http://schemas.openxmlformats.org/spreadsheetml/2006/main" count="1499" uniqueCount="817">
  <si>
    <t>L1 / V1 实体操作硬件化 IO 点表</t>
  </si>
  <si>
    <t>用途：冻结第一步硬件化设计输入。先定义学生会操作什么、硬件要反馈什么、上位机通过什么语义理解状态；暂不分配开发板具体引脚。</t>
  </si>
  <si>
    <t>文档目标</t>
  </si>
  <si>
    <t>冻结 L1/V1 实体操作硬件化的需求输入，并把当前阶段必须做、可以简化、后续扩展三类分开。</t>
  </si>
  <si>
    <t>本表不做</t>
  </si>
  <si>
    <t>不分配 MCU 具体引脚；不画板级原理图；不把题库答案或评分规则下沉到下位机；不把 L2 自动采集、表笔识别、教学级外壳作为当前阶段前置条件。</t>
  </si>
  <si>
    <t>L1核心原则</t>
  </si>
  <si>
    <t>实体动作必须有状态反馈；危险输出默认断开；急停和通信超时独立进入安全态；上位机只通过适配层语义读写硬件状态。</t>
  </si>
  <si>
    <t>当前阶段</t>
  </si>
  <si>
    <t>优先做 MCU 面包板/模块化 PoC：通信、急停、接地断开/小电阻、Gen1/Gen2 实体操作、基础状态灯和 L2 手动测量闭环。</t>
  </si>
  <si>
    <t>与软件关系</t>
  </si>
  <si>
    <t>现有 SimulationState/HardwareActions 是语义参照；真实硬件接入时不应让上位机直接依赖寄存器或端子编号。</t>
  </si>
  <si>
    <t>IO 数量摘要（由 01_IO点表 公式统计）</t>
  </si>
  <si>
    <t>指标</t>
  </si>
  <si>
    <t>公式/值</t>
  </si>
  <si>
    <t>说明</t>
  </si>
  <si>
    <t>当前执行建议：
1. 先只看 00_优先范围 和 01_IO点表 的“本阶段处理=优先实现”。
2. “可简化”不作为第一轮跑通阻塞项。
3. “暂缓扩展”先划出当前范围。
本表不替代电气安全设计；涉及急停、隔离、熔断、限流的内容需要硬件工程复核。</t>
  </si>
  <si>
    <t>总 IO/状态项</t>
  </si>
  <si>
    <t>包含物理 DI/DO 和必须定义的内部通信状态</t>
  </si>
  <si>
    <t>V1 必选</t>
  </si>
  <si>
    <t>第一版必须覆盖</t>
  </si>
  <si>
    <t>建议项</t>
  </si>
  <si>
    <t>可随 V1 一起实现</t>
  </si>
  <si>
    <t>预留项</t>
  </si>
  <si>
    <t>后续扩展接口/空间预留</t>
  </si>
  <si>
    <t>DI 数量</t>
  </si>
  <si>
    <t>用于初估下位机数字输入点数</t>
  </si>
  <si>
    <t>DO 数量</t>
  </si>
  <si>
    <t>用于初估下位机数字输出点数</t>
  </si>
  <si>
    <t>内部状态</t>
  </si>
  <si>
    <t>协议/适配层状态，不占物理 IO</t>
  </si>
  <si>
    <t>本阶段处理</t>
  </si>
  <si>
    <t>数量</t>
  </si>
  <si>
    <t>解释</t>
  </si>
  <si>
    <t>优先实现</t>
  </si>
  <si>
    <t>面包板/模块化 PoC 先做出来</t>
  </si>
  <si>
    <t>可简化</t>
  </si>
  <si>
    <t>可用 UI 提示、模块自带灯或单路反馈先替代</t>
  </si>
  <si>
    <t>暂缓扩展</t>
  </si>
  <si>
    <t>当前阶段先不做，不影响 L1/L2 手动闭环</t>
  </si>
  <si>
    <t>本阶段优先范围：先做 L1/L2 手动硬件化 PoC</t>
  </si>
  <si>
    <t>这页用于把完整需求池切成当前阶段能落地的施工范围。自动采集、表笔识别、PCB 固化和教学级外壳均不作为本阶段必选。</t>
  </si>
  <si>
    <t>层级</t>
  </si>
  <si>
    <t>本阶段结论</t>
  </si>
  <si>
    <t>具体内容</t>
  </si>
  <si>
    <t>对应说明</t>
  </si>
  <si>
    <t>先确保能做出来</t>
  </si>
  <si>
    <t>MCU 通信心跳、急停输入、接地断开/小电阻、Gen1/Gen2 停止/手动、起停、运行反馈、脱开/工作位、分合闸、合位反馈、执行继电器、运行/合闸/接地状态灯。</t>
  </si>
  <si>
    <t>这些构成 L1 实体操作闭环。先用面包板/模块化 IO 跑通，不要求 PCB 和教学级外壳。</t>
  </si>
  <si>
    <t>可以先降级实现</t>
  </si>
  <si>
    <t>控制电源反馈、电源灯、通信灯、完整安全继电器反馈、断路器分位反馈、合闸闭锁实体灯。</t>
  </si>
  <si>
    <t>这些有价值，但第一轮可以用 UI 提示、单路反馈、模块自带灯或人工观察替代。</t>
  </si>
  <si>
    <t>先划出当前范围</t>
  </si>
  <si>
    <t>自动模式、试验位、直接接地实体档位、蜂鸣器/消音、远方启动、自动同步灯、教师维护钥匙。</t>
  </si>
  <si>
    <t>这些不是 L1/L2 手动硬件化的必要条件，不影响当前交付。</t>
  </si>
  <si>
    <t>明确不作为本阶段必选</t>
  </si>
  <si>
    <t>只作为后续锦上添花</t>
  </si>
  <si>
    <t>自动采集、表笔识别、相序自动识别、PCB 固化、教学级外壳、端子防误填、完整故障矩阵硬件化。</t>
  </si>
  <si>
    <t>这些可以提升便利性或工程完整度，但不是本阶段核心成果。</t>
  </si>
  <si>
    <t>当前阶段的目标不是“完整教学级硬件成品”，而是“MCU + 面包板/模块化 IO + 真实端子 + 手动录入”的软硬闭环。只要优先实现项跑通，就已经能证明硬件化路线成立。</t>
  </si>
  <si>
    <t>顺序</t>
  </si>
  <si>
    <t>先做模块</t>
  </si>
  <si>
    <t>最低实现</t>
  </si>
  <si>
    <t>验收方式</t>
  </si>
  <si>
    <t>MCU 与上位机通信</t>
  </si>
  <si>
    <t>USB 串口；周期上传 snapshot；通信超时能被上位机识别。</t>
  </si>
  <si>
    <t>断开串口后，上位机显示离线/stale，不再允许危险动作。</t>
  </si>
  <si>
    <t>急停基础链路</t>
  </si>
  <si>
    <t>一个 NC 急停输入；急停后继电器输出默认断开；上位机显示 estop_active。</t>
  </si>
  <si>
    <t>运行/合闸模拟状态下按急停，输出断开，状态提示正确。</t>
  </si>
  <si>
    <t>Gen1 最小闭环</t>
  </si>
  <si>
    <t>stop/manual、起机、停机、工作/脱开、合闸、分闸、running、breaker_closed、运行灯、合闸灯。</t>
  </si>
  <si>
    <t>Gen1 可以从实体按钮完成起机、合闸、分闸、停机并同步到上位机。</t>
  </si>
  <si>
    <t>Gen2 复制闭环</t>
  </si>
  <si>
    <t>复制 Gen1 的核心 IO，不先做自动模式和试验位。</t>
  </si>
  <si>
    <t>Gen2 与 Gen1 行为一致，字段独立。</t>
  </si>
  <si>
    <t>接地选择</t>
  </si>
  <si>
    <t>断开/小电阻两档优先；直接接地先保留软件状态或后续再接。</t>
  </si>
  <si>
    <t>第一步能识别断开，后续 PT 步骤能识别小电阻接地。</t>
  </si>
  <si>
    <t>L2 手动测量配合</t>
  </si>
  <si>
    <t>低压端子 + 万用表/相序仪 + UI 手动录入；不做表笔识别和自动采集。</t>
  </si>
  <si>
    <t>四个测量步骤能用真实仪表读数后手动录入并判定。</t>
  </si>
  <si>
    <t>L1 IO 点表（详细需求）</t>
  </si>
  <si>
    <t>每一行代表一个硬件输入、输出或必须定义的内部状态语义；新增“本阶段处理”用于区分优先实现、可简化和暂缓扩展。</t>
  </si>
  <si>
    <t>序号</t>
  </si>
  <si>
    <t>IO_ID</t>
  </si>
  <si>
    <t>V1属性</t>
  </si>
  <si>
    <t>优先级</t>
  </si>
  <si>
    <t>子系统</t>
  </si>
  <si>
    <t>硬件对象/面板标签</t>
  </si>
  <si>
    <t>信号方向</t>
  </si>
  <si>
    <t>信号类型</t>
  </si>
  <si>
    <t>电气建议</t>
  </si>
  <si>
    <t>常态/失效安全</t>
  </si>
  <si>
    <t>有效状态/档位</t>
  </si>
  <si>
    <t>上位机语义</t>
  </si>
  <si>
    <t>现有软件字段映射</t>
  </si>
  <si>
    <t>适配层字段建议</t>
  </si>
  <si>
    <t>触发与刷新规则</t>
  </si>
  <si>
    <t>安全/闭锁要求</t>
  </si>
  <si>
    <t>验收标准</t>
  </si>
  <si>
    <t>设计备注</t>
  </si>
  <si>
    <t>处理说明</t>
  </si>
  <si>
    <t>L1-DI-SYS-001</t>
  </si>
  <si>
    <t>必选</t>
  </si>
  <si>
    <t>P0</t>
  </si>
  <si>
    <t>系统公共</t>
  </si>
  <si>
    <t>控制电源状态反馈</t>
  </si>
  <si>
    <t>DI</t>
  </si>
  <si>
    <t>电源/继电器辅助触点</t>
  </si>
  <si>
    <t>24V 隔离 DI；建议来自控制电源健康接点</t>
  </si>
  <si>
    <t>失电=false；上位机标记 hardware_off</t>
  </si>
  <si>
    <t>ok/lost</t>
  </si>
  <si>
    <t>硬件实训台控制电源是否可用</t>
  </si>
  <si>
    <t>无直接字段；建议进入 PlantSnapshot</t>
  </si>
  <si>
    <t>snapshot.system.control_power_ok</t>
  </si>
  <si>
    <t>周期刷新；通信建立前也应能通过下位机状态得知</t>
  </si>
  <si>
    <t>控制电源异常时禁止所有 DO 输出，记录安全事件</t>
  </si>
  <si>
    <t>断开控制电源后上位机显示不可操作，所有输出断开</t>
  </si>
  <si>
    <t>V1 需要，避免学生误以为软件可继续控制硬件</t>
  </si>
  <si>
    <t>当前阶段可用软件提示、单路反馈或模块状态替代；不作为第一轮跑通阻塞项。</t>
  </si>
  <si>
    <t>L1-DI-SYS-002</t>
  </si>
  <si>
    <t>下位机通信在线/心跳</t>
  </si>
  <si>
    <t>通信状态</t>
  </si>
  <si>
    <t>由协议层生成，不占物理端子</t>
  </si>
  <si>
    <t>超时=offline/stale</t>
  </si>
  <si>
    <t>online/offline/stale</t>
  </si>
  <si>
    <t>上位机判断硬件快照是否新鲜</t>
  </si>
  <si>
    <t>无直接字段；适配层新增</t>
  </si>
  <si>
    <t>snapshot.system.comm_state</t>
  </si>
  <si>
    <t>建议 100-500ms 心跳；超过 1-2s 进入 stale</t>
  </si>
  <si>
    <t>通信超时后 DO 进入失效安全，合闸命令禁止</t>
  </si>
  <si>
    <t>拔掉通信线后上位机提示离线，输出断开或保持安全态</t>
  </si>
  <si>
    <t>虽然不是 DI/DO，也应写入 IO 点表的系统需求</t>
  </si>
  <si>
    <t>构成实体操作、状态反馈、基础安全或通信闭环，建议先做出来再讨论扩展。</t>
  </si>
  <si>
    <t>L1-DO-SYS-001</t>
  </si>
  <si>
    <t>P1</t>
  </si>
  <si>
    <t>电源指示灯</t>
  </si>
  <si>
    <t>DO</t>
  </si>
  <si>
    <t>面板灯</t>
  </si>
  <si>
    <t>24V DO 或电源回路自带灯</t>
  </si>
  <si>
    <t>失电灭</t>
  </si>
  <si>
    <t>on/off</t>
  </si>
  <si>
    <t>提示控制电源存在</t>
  </si>
  <si>
    <t>无直接字段</t>
  </si>
  <si>
    <t>output.system.power_lamp</t>
  </si>
  <si>
    <t>随 control_power_ok 或硬件自带电源直接显示</t>
  </si>
  <si>
    <t>不能由上位机虚假点亮</t>
  </si>
  <si>
    <t>控制电源存在时亮，断电时灭</t>
  </si>
  <si>
    <t>可硬接，不一定占 DO</t>
  </si>
  <si>
    <t>L1-DO-SYS-002</t>
  </si>
  <si>
    <t>通信指示灯</t>
  </si>
  <si>
    <t>24V DO；绿色/黄色</t>
  </si>
  <si>
    <t>通信异常时灭或闪烁</t>
  </si>
  <si>
    <t>on/off/blink</t>
  </si>
  <si>
    <t>提示上位机与下位机通信状态</t>
  </si>
  <si>
    <t>output.system.comm_lamp</t>
  </si>
  <si>
    <t>心跳正常亮；超时闪烁或灭</t>
  </si>
  <si>
    <t>通信异常不得允许新的危险输出</t>
  </si>
  <si>
    <t>断开通信后 2s 内进入告警态</t>
  </si>
  <si>
    <t>可由下位机本地驱动</t>
  </si>
  <si>
    <t>L1-DI-SAFE-001</t>
  </si>
  <si>
    <t>安全公共</t>
  </si>
  <si>
    <t>急停按钮回路</t>
  </si>
  <si>
    <t>NC 急停链/安全继电器输入</t>
  </si>
  <si>
    <t>独立安全回路；不依赖普通通信；建议双通道</t>
  </si>
  <si>
    <t>断线/按下=急停有效；所有危险输出断开</t>
  </si>
  <si>
    <t>normal/estop</t>
  </si>
  <si>
    <t>急停状态</t>
  </si>
  <si>
    <t>无直接字段；适配层新增 estop_active</t>
  </si>
  <si>
    <t>snapshot.safety.estop_active</t>
  </si>
  <si>
    <t>硬件本地实时生效；上位机周期显示</t>
  </si>
  <si>
    <t>急停必须硬切关键输出；未人工复位不得恢复合闸</t>
  </si>
  <si>
    <t>按下急停后断路器输出断开、灯告警、上位机显示急停</t>
  </si>
  <si>
    <t>最高优先级，不作为普通软件按钮处理</t>
  </si>
  <si>
    <t>L1-DI-SAFE-002</t>
  </si>
  <si>
    <t>安全继电器允许反馈</t>
  </si>
  <si>
    <t>安全继电器反馈触点</t>
  </si>
  <si>
    <t>24V 隔离 DI；建议来自安全继电器 EDM/反馈</t>
  </si>
  <si>
    <t>false=禁止输出</t>
  </si>
  <si>
    <t>ok/not_ok</t>
  </si>
  <si>
    <t>安全链是否允许下位机输出</t>
  </si>
  <si>
    <t>snapshot.safety.safety_relay_ok</t>
  </si>
  <si>
    <t>周期刷新；变化立即上报</t>
  </si>
  <si>
    <t>false 时 DO 不得动作；上位机显示安全链未就绪</t>
  </si>
  <si>
    <t>断开安全链后合闸按钮无输出且显示原因</t>
  </si>
  <si>
    <t>与 ESTOP 区分，便于诊断</t>
  </si>
  <si>
    <t>L1-DO-SAFE-001</t>
  </si>
  <si>
    <t>急停/安全告警灯</t>
  </si>
  <si>
    <t>红色面板灯</t>
  </si>
  <si>
    <t>24V DO；也可由安全继电器硬接</t>
  </si>
  <si>
    <t>急停或安全链异常时亮；正常灭</t>
  </si>
  <si>
    <t>提示安全链状态</t>
  </si>
  <si>
    <t>output.safety.estop_lamp</t>
  </si>
  <si>
    <t>跟随 estop_active/safety_relay_ok</t>
  </si>
  <si>
    <t>不能因上位机异常而熄灭真实急停指示</t>
  </si>
  <si>
    <t>急停按下立即亮；复位后灭</t>
  </si>
  <si>
    <t>建议硬件本地驱动优先</t>
  </si>
  <si>
    <t>L1-DO-SAFE-002</t>
  </si>
  <si>
    <t>建议</t>
  </si>
  <si>
    <t>蜂鸣器/总故障提示</t>
  </si>
  <si>
    <t>蜂鸣器</t>
  </si>
  <si>
    <t>24V DO；可带消音按钮</t>
  </si>
  <si>
    <t>默认静音；故障时按策略响/闪</t>
  </si>
  <si>
    <t>off/beep</t>
  </si>
  <si>
    <t>提示严重故障、急停、通信丢失或闭锁</t>
  </si>
  <si>
    <t>output.safety.buzzer</t>
  </si>
  <si>
    <t>严重事件触发；允许手动消音但保留灯光</t>
  </si>
  <si>
    <t>蜂鸣器不能替代硬件联锁</t>
  </si>
  <si>
    <t>急停/通信丢失时响；消音后不影响安全状态</t>
  </si>
  <si>
    <t>教学环境可按噪音控制策略选择</t>
  </si>
  <si>
    <t>不影响 L1/L2 手动硬件化闭环，先不纳入面包板 PoC；后续需要更完整教学台时再补。</t>
  </si>
  <si>
    <t>L1-DI-SAFE-003</t>
  </si>
  <si>
    <t>告警复位/消音按钮</t>
  </si>
  <si>
    <t>瞬时按钮 NO</t>
  </si>
  <si>
    <t>24V 隔离 DI；上升沿触发</t>
  </si>
  <si>
    <t>释放=0</t>
  </si>
  <si>
    <t>pressed/released</t>
  </si>
  <si>
    <t>清除可复位告警或消音</t>
  </si>
  <si>
    <t>command.safety.acknowledge_request</t>
  </si>
  <si>
    <t>上升沿触发；只清除已消失的告警或蜂鸣</t>
  </si>
  <si>
    <t>不得复位急停本体；不得恢复危险输出</t>
  </si>
  <si>
    <t>故障解除后按下可清除告警；急停未复位时无效</t>
  </si>
  <si>
    <t>与急停复位分开</t>
  </si>
  <si>
    <t>L1-DI-GND-001</t>
  </si>
  <si>
    <t>接地系统</t>
  </si>
  <si>
    <t>中性点接地选择：断开</t>
  </si>
  <si>
    <t>三位保持旋钮/选择开关</t>
  </si>
  <si>
    <t>24V 隔离 DI；三档互斥</t>
  </si>
  <si>
    <t>默认无效时禁止进入依赖接地状态的步骤</t>
  </si>
  <si>
    <t>断开</t>
  </si>
  <si>
    <t>选择中性点脱开/悬浮，用于第一步回路测试</t>
  </si>
  <si>
    <t>sim_state.grounding_mode = "断开"</t>
  </si>
  <si>
    <t>snapshot.grounding.mode</t>
  </si>
  <si>
    <t>档位变化立即上报</t>
  </si>
  <si>
    <t>第一步要求断开；后续 PT 测试通常要求小电阻接地</t>
  </si>
  <si>
    <t>切到断开后第一步门禁满足；后续步骤提示恢复接地</t>
  </si>
  <si>
    <t>必须清晰标注，避免学生误留断开</t>
  </si>
  <si>
    <t>L1-DI-GND-002</t>
  </si>
  <si>
    <t>中性点接地选择：小电阻接地</t>
  </si>
  <si>
    <t>24V 隔离 DI；与断开/直接互斥</t>
  </si>
  <si>
    <t>默认优先安全态可定义为小电阻接地，但必须可反馈</t>
  </si>
  <si>
    <t>小电阻接地</t>
  </si>
  <si>
    <t>选择 10Ω 小电阻接地，作为后续 PT/并网流程默认安全状态</t>
  </si>
  <si>
    <t>sim_state.grounding_mode = "小电阻接地"</t>
  </si>
  <si>
    <t>第二至第四步门禁依赖该状态</t>
  </si>
  <si>
    <t>选择后 PT 线压/相序/压差步骤可通过接地前置校验</t>
  </si>
  <si>
    <t>与文档安全基线一致</t>
  </si>
  <si>
    <t>L1-DI-GND-003</t>
  </si>
  <si>
    <t>中性点接地选择：直接接地</t>
  </si>
  <si>
    <t>24V 隔离 DI；可加保护盖或教师授权</t>
  </si>
  <si>
    <t>默认不进入直接接地；误选应提示风险</t>
  </si>
  <si>
    <t>直接接地</t>
  </si>
  <si>
    <t>选择直接接地状态，用于教学风险演示或预留</t>
  </si>
  <si>
    <t>sim_state.grounding_mode = "直接接地"</t>
  </si>
  <si>
    <t>直接接地可能是危险/异常教学状态，不得静默通过流程</t>
  </si>
  <si>
    <t>切到直接接地后上位机显示橙/红色风险提示</t>
  </si>
  <si>
    <t>是否允许学生操作需另定权限</t>
  </si>
  <si>
    <t>L1-DO-GND-001</t>
  </si>
  <si>
    <t>接地状态灯：断开</t>
  </si>
  <si>
    <t>24V DO；可由三位开关自带灯或下位机驱动</t>
  </si>
  <si>
    <t>默认灭；反馈无效时告警</t>
  </si>
  <si>
    <t>提示当前接地模式为断开</t>
  </si>
  <si>
    <t>sim_state.grounding_mode</t>
  </si>
  <si>
    <t>output.grounding.disconnected_lamp</t>
  </si>
  <si>
    <t>跟随反馈快照，不跟随命令</t>
  </si>
  <si>
    <t>显示必须与真实反馈一致</t>
  </si>
  <si>
    <t>断开反馈有效时亮，其他模式灭</t>
  </si>
  <si>
    <t>三盏灯建议互斥</t>
  </si>
  <si>
    <t>L1-DO-GND-002</t>
  </si>
  <si>
    <t>接地状态灯：小电阻</t>
  </si>
  <si>
    <t>24V DO</t>
  </si>
  <si>
    <t>默认可按真实状态亮；反馈无效时告警</t>
  </si>
  <si>
    <t>提示当前接地模式为小电阻接地</t>
  </si>
  <si>
    <t>output.grounding.resistor_lamp</t>
  </si>
  <si>
    <t>跟随反馈快照</t>
  </si>
  <si>
    <t>小电阻反馈有效时亮</t>
  </si>
  <si>
    <t>后续步骤最常用状态</t>
  </si>
  <si>
    <t>L1-DO-GND-003</t>
  </si>
  <si>
    <t>接地状态灯：直接接地/风险</t>
  </si>
  <si>
    <t>24V DO；建议橙/红色</t>
  </si>
  <si>
    <t>默认灭</t>
  </si>
  <si>
    <t>提示直接接地或风险状态</t>
  </si>
  <si>
    <t>output.grounding.direct_lamp</t>
  </si>
  <si>
    <t>直接接地时应明显告警</t>
  </si>
  <si>
    <t>直接接地反馈有效时亮或闪烁</t>
  </si>
  <si>
    <t>避免学生误以为正常运行状态</t>
  </si>
  <si>
    <t>L1-DI-G1-001</t>
  </si>
  <si>
    <t>Gen1</t>
  </si>
  <si>
    <t>Gen1 模式选择：停止</t>
  </si>
  <si>
    <t>24V 隔离 DI；三档互斥；建议每档独立触点</t>
  </si>
  <si>
    <t>默认 stop；通信失败时上位机显示保持最后有效快照并标记 stale</t>
  </si>
  <si>
    <t>stop</t>
  </si>
  <si>
    <t>学生将机组置于停止模式</t>
  </si>
  <si>
    <t>sim_state.gen1.mode = "stop"</t>
  </si>
  <si>
    <t>snapshot.gen1.mode</t>
  </si>
  <si>
    <t>档位变化立即上报；同一时刻多档有效视为 invalid_selector</t>
  </si>
  <si>
    <t>停止档下禁止起机和合闸；若断路器已合，软件/下位机应触发分闸请求</t>
  </si>
  <si>
    <t>切到停止后，上位机状态 1s 内显示停止；起机按钮不可产生运行状态</t>
  </si>
  <si>
    <t>V1 至少 stop/manual；auto 档若硬件面板已具备可接入但可在软件中预留</t>
  </si>
  <si>
    <t>L1-DI-G1-002</t>
  </si>
  <si>
    <t>Gen1 模式选择：手动</t>
  </si>
  <si>
    <t>24V 隔离 DI；与停止/自动互斥</t>
  </si>
  <si>
    <t>默认无效时回退 stop 或上报 invalid，禁止直接进入运行</t>
  </si>
  <si>
    <t>manual</t>
  </si>
  <si>
    <t>学生进入手动工作模式，可执行起机、分合闸等动作</t>
  </si>
  <si>
    <t>sim_state.gen1.mode = "manual"</t>
  </si>
  <si>
    <t>档位变化立即上报；上位机只按反馈状态更新</t>
  </si>
  <si>
    <t>未在 manual 时起机按钮应被拒绝并给闭锁提示</t>
  </si>
  <si>
    <t>manual 有效后，起机按钮可以触发运行流程；日志记录 origin=hardware_panel</t>
  </si>
  <si>
    <t>与现有 UI 的“手动”一致</t>
  </si>
  <si>
    <t>L1-DI-G1-003</t>
  </si>
  <si>
    <t>预留</t>
  </si>
  <si>
    <t>P2</t>
  </si>
  <si>
    <t>Gen1 模式选择：自动</t>
  </si>
  <si>
    <t>24V 隔离 DI；V1 可只预留端子/孔位</t>
  </si>
  <si>
    <t>默认不启用；未接入时软件不显示硬件 auto 有效</t>
  </si>
  <si>
    <t>auto</t>
  </si>
  <si>
    <t>后续同步/自动追赶模式入口</t>
  </si>
  <si>
    <t>sim_state.gen1.mode = "auto"</t>
  </si>
  <si>
    <t>V1 可不上报；V2/扩展接入后按模式反馈更新</t>
  </si>
  <si>
    <t>自动模式不得绕过同期/流程闭锁</t>
  </si>
  <si>
    <t>未启用时不影响 stop/manual；启用后 auto 指示准确</t>
  </si>
  <si>
    <t>当前重点不是自动化，先预留</t>
  </si>
  <si>
    <t>L1-DI-G1-004</t>
  </si>
  <si>
    <t>Gen1 起机按钮</t>
  </si>
  <si>
    <t>24V 隔离 DI；上升沿触发；建议硬件去抖 20-50ms</t>
  </si>
  <si>
    <t>按钮释放为 0；卡滞超过阈值上报 stuck</t>
  </si>
  <si>
    <t>学生请求起机</t>
  </si>
  <si>
    <t>HardwareActions.toggle_engine(1)</t>
  </si>
  <si>
    <t>command.gen1.engine_start_request</t>
  </si>
  <si>
    <t>上升沿触发一次；不以长按反复触发</t>
  </si>
  <si>
    <t>仅 manual 且未运行时有效；急停/安全继电器断开时无效</t>
  </si>
  <si>
    <t>manual 下按下后 running=true；非 manual 下拒绝并提示</t>
  </si>
  <si>
    <t>实体按钮替代 UI 起机</t>
  </si>
  <si>
    <t>L1-DI-G1-005</t>
  </si>
  <si>
    <t>Gen1 停机按钮</t>
  </si>
  <si>
    <t>瞬时按钮；建议 NC 或带断线诊断</t>
  </si>
  <si>
    <t>24V 隔离 DI；优先使用 NC 进入安全设计</t>
  </si>
  <si>
    <t>失电/断线按停机处理</t>
  </si>
  <si>
    <t>学生请求停机</t>
  </si>
  <si>
    <t>sim_state.gen1.running = False；必要时 breaker_closed=False</t>
  </si>
  <si>
    <t>command.gen1.engine_stop_request</t>
  </si>
  <si>
    <t>上升沿触发停机；运行状态变化由反馈闭环确认</t>
  </si>
  <si>
    <t>停机后对应断路器不得保持合闸；应进入失压分闸逻辑</t>
  </si>
  <si>
    <t>运行中按停机后 running=false，断路器断开，状态灯同步</t>
  </si>
  <si>
    <t>可以与起机按钮分开，也可用启停双按钮组件</t>
  </si>
  <si>
    <t>L1-DI-G1-006</t>
  </si>
  <si>
    <t>Gen1 运行反馈</t>
  </si>
  <si>
    <t>辅助反馈/下位机状态</t>
  </si>
  <si>
    <t>可由下位机模拟运行接点或真实继电器辅助触点</t>
  </si>
  <si>
    <t>默认 false；通信超时 stale</t>
  </si>
  <si>
    <t>running/stopped</t>
  </si>
  <si>
    <t>机组实际运行状态</t>
  </si>
  <si>
    <t>sim_state.gen1.running</t>
  </si>
  <si>
    <t>snapshot.gen1.running</t>
  </si>
  <si>
    <t>状态变化周期上报；建议 100-500ms 刷新</t>
  </si>
  <si>
    <t>上位机不能只凭起机命令判定运行，必须看反馈</t>
  </si>
  <si>
    <t>起机请求后有反馈；停机/急停后反馈消失</t>
  </si>
  <si>
    <t>若 V1 只有模拟面板，也应由下位机生成反馈闭环</t>
  </si>
  <si>
    <t>L1-DO-G1-001</t>
  </si>
  <si>
    <t>Gen1 运行指示灯</t>
  </si>
  <si>
    <t>24V DO；建议绿色；由上位机/下位机状态驱动</t>
  </si>
  <si>
    <t>通信失败或急停时熄灭或闪烁告警</t>
  </si>
  <si>
    <t>提示机组运行</t>
  </si>
  <si>
    <t>output.gen1.running_lamp</t>
  </si>
  <si>
    <t>随 running 快照刷新；不得只跟随按钮命令</t>
  </si>
  <si>
    <t>状态灯不得掩盖急停或通信故障</t>
  </si>
  <si>
    <t>running=true 时亮；停机后灭；通信故障进入约定告警态</t>
  </si>
  <si>
    <t>可由下位机本地驱动，快照回传给上位机</t>
  </si>
  <si>
    <t>L1-DI-G1-007</t>
  </si>
  <si>
    <t>Gen1 开关柜位置：脱开</t>
  </si>
  <si>
    <t>三位置反馈/行程开关</t>
  </si>
  <si>
    <t>24V 隔离 DI；三位置互斥；建议机械钥匙/旋钮</t>
  </si>
  <si>
    <t>多档有效或全无效时 invalid_position，禁止合闸</t>
  </si>
  <si>
    <t>脱开位置</t>
  </si>
  <si>
    <t>开关柜处于脱开位置</t>
  </si>
  <si>
    <t>sim_state.gen1.breaker_position = BreakerPosition.DISCONNECTED</t>
  </si>
  <si>
    <t>snapshot.gen1.breaker_position</t>
  </si>
  <si>
    <t>位置变化立即上报；上位机按反馈更新</t>
  </si>
  <si>
    <t>脱开位禁止工作合闸；第一步绝缘/回路语义可依流程决定</t>
  </si>
  <si>
    <t>选择脱开后 UI 显示脱开；合闸请求被拦截</t>
  </si>
  <si>
    <t>现有软件枚举已包含脱开位置</t>
  </si>
  <si>
    <t>L1-DI-G1-008</t>
  </si>
  <si>
    <t>Gen1 开关柜位置：试验</t>
  </si>
  <si>
    <t>24V 隔离 DI；V1 可预留但建议保留</t>
  </si>
  <si>
    <t>多档有效或全无效时 invalid_position</t>
  </si>
  <si>
    <t>试验位置</t>
  </si>
  <si>
    <t>开关柜处于试验位置</t>
  </si>
  <si>
    <t>sim_state.gen1.breaker_position = BreakerPosition.TEST</t>
  </si>
  <si>
    <t>位置变化立即上报</t>
  </si>
  <si>
    <t>试验位不得并网；仅允许指定二次测试或本地调试</t>
  </si>
  <si>
    <t>试验位显示准确；工作合闸被拦截</t>
  </si>
  <si>
    <t>UI 当前部分步骤只展示脱开/工作，但模型已包含 TEST</t>
  </si>
  <si>
    <t>L1-DI-G1-009</t>
  </si>
  <si>
    <t>Gen1 开关柜位置：工作</t>
  </si>
  <si>
    <t>24V 隔离 DI；与脱开/试验互斥</t>
  </si>
  <si>
    <t>默认不是工作；无效时禁止合闸</t>
  </si>
  <si>
    <t>工作位置</t>
  </si>
  <si>
    <t>开关柜处于工作位置</t>
  </si>
  <si>
    <t>sim_state.gen1.breaker_position = BreakerPosition.WORKING</t>
  </si>
  <si>
    <t>位置变化立即上报；合闸前读取最新状态</t>
  </si>
  <si>
    <t>工作位合闸必须经过流程、同期和故障闭锁判断</t>
  </si>
  <si>
    <t>工作位有效后，满足流程才允许合闸；否则显示闭锁</t>
  </si>
  <si>
    <t>现有核心流程强依赖工作位</t>
  </si>
  <si>
    <t>L1-DI-G1-010</t>
  </si>
  <si>
    <t>Gen1 合闸按钮</t>
  </si>
  <si>
    <t>24V 隔离 DI；上升沿触发；硬件去抖</t>
  </si>
  <si>
    <t>释放为 0；卡滞上报 stuck</t>
  </si>
  <si>
    <t>学生请求断路器合闸</t>
  </si>
  <si>
    <t>HardwareActions.toggle_breaker(1)</t>
  </si>
  <si>
    <t>command.gen1.breaker_close_request</t>
  </si>
  <si>
    <t>上升沿触发一次；由上位机/下位机闭锁决定是否下发合闸执行</t>
  </si>
  <si>
    <t>工作位、流程完成、无急停、无故障、同期条件满足时才可合闸；第一步回路测试按 loop_test_mode 放行</t>
  </si>
  <si>
    <t>违规按下不合闸且产生闭锁原因；合法按下后需有合闸反馈</t>
  </si>
  <si>
    <t>不能只把按钮等同 breaker_closed=true</t>
  </si>
  <si>
    <t>Gen1 分闸按钮</t>
  </si>
  <si>
    <t>释放为 0；失电默认分闸</t>
  </si>
  <si>
    <t>学生请求断路器分闸</t>
  </si>
  <si>
    <t>HardwareActions.toggle_breaker(1) when closed</t>
  </si>
  <si>
    <t>command.gen1.breaker_open_request</t>
  </si>
  <si>
    <t>上升沿触发；分闸优先级高于合闸</t>
  </si>
  <si>
    <t>分闸不应被教学流程闭锁；急停下必须可断开输出</t>
  </si>
  <si>
    <t>合闸状态按下后 breaker_closed=false，灯灭，日志记录</t>
  </si>
  <si>
    <t>建议分闸独立按钮而非合/分一键</t>
  </si>
  <si>
    <t>L1-DI-G1-012</t>
  </si>
  <si>
    <t>Gen1 断路器合位反馈</t>
  </si>
  <si>
    <t>辅助触点</t>
  </si>
  <si>
    <t>24V 隔离 DI；建议取 52a</t>
  </si>
  <si>
    <t>默认 open；通信超时 stale</t>
  </si>
  <si>
    <t>closed/open</t>
  </si>
  <si>
    <t>断路器实际合闸状态</t>
  </si>
  <si>
    <t>sim_state.gen1.breaker_closed</t>
  </si>
  <si>
    <t>snapshot.gen1.breaker_closed</t>
  </si>
  <si>
    <t>周期刷新；合闸命令后必须等待反馈确认</t>
  </si>
  <si>
    <t>合位反馈与分位反馈冲突时上报 invalid_breaker_feedback</t>
  </si>
  <si>
    <t>合法合闸后合位反馈有效；分闸/急停后无效</t>
  </si>
  <si>
    <t>反馈闭环核心点</t>
  </si>
  <si>
    <t>L1-DI-G1-013</t>
  </si>
  <si>
    <t>Gen1 断路器分位反馈</t>
  </si>
  <si>
    <t>24V 隔离 DI；建议取 52b</t>
  </si>
  <si>
    <t>默认可视为 open；若未装，需在设计中说明</t>
  </si>
  <si>
    <t>open/closed</t>
  </si>
  <si>
    <t>断路器实际分闸状态</t>
  </si>
  <si>
    <t>not sim_state.gen1.breaker_closed</t>
  </si>
  <si>
    <t>snapshot.gen1.breaker_open_feedback</t>
  </si>
  <si>
    <t>周期刷新；与合位反馈互校验</t>
  </si>
  <si>
    <t>合位和分位不能同时有效；不能同时无效超过动作超时</t>
  </si>
  <si>
    <t>分闸后分位有效；合闸后分位无效</t>
  </si>
  <si>
    <t>不是当前软件字段，但对硬件诊断有价值</t>
  </si>
  <si>
    <t>L1-DO-G1-002</t>
  </si>
  <si>
    <t>Gen1 合闸执行继电器/合闸线圈</t>
  </si>
  <si>
    <t>脉冲输出</t>
  </si>
  <si>
    <t>隔离继电器或固态输出；脉宽受控；带保险</t>
  </si>
  <si>
    <t>默认断开；通信超时、复位、急停全部断开</t>
  </si>
  <si>
    <t>pulse/off</t>
  </si>
  <si>
    <t>下位机执行合闸动作</t>
  </si>
  <si>
    <t>cmd_close / breaker_closed transition</t>
  </si>
  <si>
    <t>output.gen1.breaker_close_pulse</t>
  </si>
  <si>
    <t>只在闭锁通过后输出短脉冲；动作后等待反馈</t>
  </si>
  <si>
    <t>禁止粘连；输出前必须检查急停、安全继电器、位置和流程闭锁</t>
  </si>
  <si>
    <t>非法状态不会输出；合法状态输出一次并收到合位反馈</t>
  </si>
  <si>
    <t>如果 V1 使用纯仿真继电器，可仍按该语义定义</t>
  </si>
  <si>
    <t>L1-DO-G1-003</t>
  </si>
  <si>
    <t>Gen1 分闸/跳闸执行继电器</t>
  </si>
  <si>
    <t>脉冲或保持输出</t>
  </si>
  <si>
    <t>隔离继电器；分闸优先；急停可硬切</t>
  </si>
  <si>
    <t>默认断开但失电应使主回路进入分闸安全态</t>
  </si>
  <si>
    <t>下位机执行分闸动作</t>
  </si>
  <si>
    <t>breaker_closed=False</t>
  </si>
  <si>
    <t>output.gen1.breaker_open_pulse</t>
  </si>
  <si>
    <t>分闸命令、急停、失压保护均可触发</t>
  </si>
  <si>
    <t>分闸优先级高于合闸；保护跳闸不得被上位机覆盖</t>
  </si>
  <si>
    <t>触发后合位反馈消失，分位反馈有效</t>
  </si>
  <si>
    <t>可与保护输出共用执行链路但需区分原因</t>
  </si>
  <si>
    <t>L1-DO-G1-004</t>
  </si>
  <si>
    <t>Gen1 合闸状态灯</t>
  </si>
  <si>
    <t>24V DO；红/绿按现场习惯统一</t>
  </si>
  <si>
    <t>默认灭；通信故障可闪烁</t>
  </si>
  <si>
    <t>显示断路器合位</t>
  </si>
  <si>
    <t>output.gen1.breaker_closed_lamp</t>
  </si>
  <si>
    <t>跟随合位反馈，不跟随合闸按钮</t>
  </si>
  <si>
    <t>反馈异常时不得显示正常合闸</t>
  </si>
  <si>
    <t>合位反馈有效时亮；异常时按告警态</t>
  </si>
  <si>
    <t>学生需要直观看到合分状态</t>
  </si>
  <si>
    <t>L1-DO-G1-005</t>
  </si>
  <si>
    <t>Gen1 合闸闭锁/禁止指示</t>
  </si>
  <si>
    <t>面板灯/蜂鸣提示</t>
  </si>
  <si>
    <t>24V DO；建议黄色或红色</t>
  </si>
  <si>
    <t>默认灭；存在闭锁原因时亮</t>
  </si>
  <si>
    <t>提示当前合闸请求被流程或安全条件拦截</t>
  </si>
  <si>
    <t>HardwareActions.get_preclose_flow_blockers(1)</t>
  </si>
  <si>
    <t>output.gen1.interlock_lamp</t>
  </si>
  <si>
    <t>合闸被拒绝或闭锁条件存在时刷新</t>
  </si>
  <si>
    <t>不能透露题库答案；只能显示工程化原因，如急停、位置不对、流程未完成</t>
  </si>
  <si>
    <t>违规合闸按钮按下时灯亮且上位机显示原因</t>
  </si>
  <si>
    <t>详细原因由上位机显示，硬件灯只提示闭锁</t>
  </si>
  <si>
    <t>L1-DI-G2-001</t>
  </si>
  <si>
    <t>Gen2</t>
  </si>
  <si>
    <t>Gen2 模式选择：停止</t>
  </si>
  <si>
    <t>sim_state.gen2.mode = "stop"</t>
  </si>
  <si>
    <t>snapshot.gen2.mode</t>
  </si>
  <si>
    <t>L1-DI-G2-002</t>
  </si>
  <si>
    <t>Gen2 模式选择：手动</t>
  </si>
  <si>
    <t>sim_state.gen2.mode = "manual"</t>
  </si>
  <si>
    <t>L1-DI-G2-003</t>
  </si>
  <si>
    <t>Gen2 模式选择：自动</t>
  </si>
  <si>
    <t>sim_state.gen2.mode = "auto"</t>
  </si>
  <si>
    <t>L1-DI-G2-004</t>
  </si>
  <si>
    <t>Gen2 起机按钮</t>
  </si>
  <si>
    <t>HardwareActions.toggle_engine(2)</t>
  </si>
  <si>
    <t>command.gen2.engine_start_request</t>
  </si>
  <si>
    <t>L1-DI-G2-005</t>
  </si>
  <si>
    <t>Gen2 停机按钮</t>
  </si>
  <si>
    <t>sim_state.gen2.running = False；必要时 breaker_closed=False</t>
  </si>
  <si>
    <t>command.gen2.engine_stop_request</t>
  </si>
  <si>
    <t>L1-DI-G2-006</t>
  </si>
  <si>
    <t>Gen2 运行反馈</t>
  </si>
  <si>
    <t>sim_state.gen2.running</t>
  </si>
  <si>
    <t>snapshot.gen2.running</t>
  </si>
  <si>
    <t>L1-DO-G2-001</t>
  </si>
  <si>
    <t>Gen2 运行指示灯</t>
  </si>
  <si>
    <t>output.gen2.running_lamp</t>
  </si>
  <si>
    <t>L1-DI-G2-007</t>
  </si>
  <si>
    <t>Gen2 开关柜位置：脱开</t>
  </si>
  <si>
    <t>sim_state.gen2.breaker_position = BreakerPosition.DISCONNECTED</t>
  </si>
  <si>
    <t>snapshot.gen2.breaker_position</t>
  </si>
  <si>
    <t>L1-DI-G2-008</t>
  </si>
  <si>
    <t>Gen2 开关柜位置：试验</t>
  </si>
  <si>
    <t>sim_state.gen2.breaker_position = BreakerPosition.TEST</t>
  </si>
  <si>
    <t>L1-DI-G2-009</t>
  </si>
  <si>
    <t>Gen2 开关柜位置：工作</t>
  </si>
  <si>
    <t>sim_state.gen2.breaker_position = BreakerPosition.WORKING</t>
  </si>
  <si>
    <t>L1-DI-G2-010</t>
  </si>
  <si>
    <t>Gen2 合闸按钮</t>
  </si>
  <si>
    <t>HardwareActions.toggle_breaker(2)</t>
  </si>
  <si>
    <t>command.gen2.breaker_close_request</t>
  </si>
  <si>
    <t>L1-DI-G2-011</t>
  </si>
  <si>
    <t>Gen2 分闸按钮</t>
  </si>
  <si>
    <t>HardwareActions.toggle_breaker(2) when closed</t>
  </si>
  <si>
    <t>command.gen2.breaker_open_request</t>
  </si>
  <si>
    <t>L1-DI-G2-012</t>
  </si>
  <si>
    <t>Gen2 断路器合位反馈</t>
  </si>
  <si>
    <t>sim_state.gen2.breaker_closed</t>
  </si>
  <si>
    <t>snapshot.gen2.breaker_closed</t>
  </si>
  <si>
    <t>L1-DI-G2-013</t>
  </si>
  <si>
    <t>Gen2 断路器分位反馈</t>
  </si>
  <si>
    <t>not sim_state.gen2.breaker_closed</t>
  </si>
  <si>
    <t>snapshot.gen2.breaker_open_feedback</t>
  </si>
  <si>
    <t>L1-DO-G2-002</t>
  </si>
  <si>
    <t>Gen2 合闸执行继电器/合闸线圈</t>
  </si>
  <si>
    <t>output.gen2.breaker_close_pulse</t>
  </si>
  <si>
    <t>L1-DO-G2-003</t>
  </si>
  <si>
    <t>Gen2 分闸/跳闸执行继电器</t>
  </si>
  <si>
    <t>output.gen2.breaker_open_pulse</t>
  </si>
  <si>
    <t>L1-DO-G2-004</t>
  </si>
  <si>
    <t>Gen2 合闸状态灯</t>
  </si>
  <si>
    <t>output.gen2.breaker_closed_lamp</t>
  </si>
  <si>
    <t>L1-DO-G2-005</t>
  </si>
  <si>
    <t>Gen2 合闸闭锁/禁止指示</t>
  </si>
  <si>
    <t>HardwareActions.get_preclose_flow_blockers(2)</t>
  </si>
  <si>
    <t>output.gen2.interlock_lamp</t>
  </si>
  <si>
    <t>L1-DI-SYNC-001</t>
  </si>
  <si>
    <t>同步/远方</t>
  </si>
  <si>
    <t>远方启动/自动同步允许</t>
  </si>
  <si>
    <t>钥匙开关或保持旋钮</t>
  </si>
  <si>
    <t>24V 隔离 DI；V1 可不装，仅预留位置</t>
  </si>
  <si>
    <t>默认 disabled</t>
  </si>
  <si>
    <t>enabled/disabled</t>
  </si>
  <si>
    <t>后续自动同步/远方启动入口</t>
  </si>
  <si>
    <t>sim_state.remote_start_signal</t>
  </si>
  <si>
    <t>snapshot.sync.remote_start_enabled</t>
  </si>
  <si>
    <t>仅在扩展阶段启用；V1 不依赖</t>
  </si>
  <si>
    <t>不能绕过手动训练和同期闭锁</t>
  </si>
  <si>
    <t>未接入时不影响 V1；接入后状态可见</t>
  </si>
  <si>
    <t>当前文档已把自动化放到后续扩展</t>
  </si>
  <si>
    <t>L1-DO-SYNC-001</t>
  </si>
  <si>
    <t>自动同步/追赶状态灯</t>
  </si>
  <si>
    <t>提示自动同步状态</t>
  </si>
  <si>
    <t>sim_state.auto_sync_active</t>
  </si>
  <si>
    <t>output.sync.auto_sync_lamp</t>
  </si>
  <si>
    <t>扩展阶段根据自动同步状态刷新</t>
  </si>
  <si>
    <t>不得暗示合闸已允许；合闸仍看闭锁</t>
  </si>
  <si>
    <t>自动同步激活时亮，退出后灭</t>
  </si>
  <si>
    <t>不作为 V1 验收必选</t>
  </si>
  <si>
    <t>L1-DI-MAINT-001</t>
  </si>
  <si>
    <t>维护/教师</t>
  </si>
  <si>
    <t>教师维护模式钥匙</t>
  </si>
  <si>
    <t>钥匙开关</t>
  </si>
  <si>
    <t>24V 隔离 DI；教师授权</t>
  </si>
  <si>
    <t>默认 normal</t>
  </si>
  <si>
    <t>normal/maintenance</t>
  </si>
  <si>
    <t>允许教师维护、调试、复位特定硬件状态</t>
  </si>
  <si>
    <t>无直接字段；建议适配层新增</t>
  </si>
  <si>
    <t>snapshot.system.maintenance_mode</t>
  </si>
  <si>
    <t>变化立即上报并记录日志</t>
  </si>
  <si>
    <t>维护模式不得在考核中隐式启用；必须有可见提示</t>
  </si>
  <si>
    <t>进入维护模式后上位机显示教师维护，考核操作受限</t>
  </si>
  <si>
    <t>用于现场维护，不是学生常规操作</t>
  </si>
  <si>
    <t>PlantSnapshot / PlantCommand 字段建议</t>
  </si>
  <si>
    <t>用于把 L1 实体面板语义接入上位机，不让上位机直接依赖串口寄存器或端子编号。</t>
  </si>
  <si>
    <t>字段类别</t>
  </si>
  <si>
    <t>建议字段</t>
  </si>
  <si>
    <t>方向</t>
  </si>
  <si>
    <t>取值/类型</t>
  </si>
  <si>
    <t>当前软件参照</t>
  </si>
  <si>
    <t>PlantSnapshot</t>
  </si>
  <si>
    <t>system.control_power_ok</t>
  </si>
  <si>
    <t>HW→PC</t>
  </si>
  <si>
    <t>bool</t>
  </si>
  <si>
    <t>新增</t>
  </si>
  <si>
    <t>控制电源是否健康；false 时所有危险动作禁止</t>
  </si>
  <si>
    <t>system.comm_state</t>
  </si>
  <si>
    <t>协议心跳状态；stale 不参与动作判定</t>
  </si>
  <si>
    <t>safety.estop_active</t>
  </si>
  <si>
    <t>急停状态；true 时输出断开并提示</t>
  </si>
  <si>
    <t>safety.safety_relay_ok</t>
  </si>
  <si>
    <t>grounding.mode</t>
  </si>
  <si>
    <t>断开/小电阻接地/直接接地/invalid</t>
  </si>
  <si>
    <t>接地旋钮反馈；三档互斥</t>
  </si>
  <si>
    <t>gen1.mode / gen2.mode</t>
  </si>
  <si>
    <t>sim_state.gen*.mode</t>
  </si>
  <si>
    <t>机组工作模式反馈</t>
  </si>
  <si>
    <t>gen1.running / gen2.running</t>
  </si>
  <si>
    <t>sim_state.gen*.running</t>
  </si>
  <si>
    <t>运行状态反馈，不等于起机命令</t>
  </si>
  <si>
    <t>gen1.breaker_position / gen2.breaker_position</t>
  </si>
  <si>
    <t>脱开位置/试验位置/工作位置/invalid</t>
  </si>
  <si>
    <t>sim_state.gen*.breaker_position</t>
  </si>
  <si>
    <t>开关柜位置反馈</t>
  </si>
  <si>
    <t>gen1.breaker_closed / gen2.breaker_closed</t>
  </si>
  <si>
    <t>sim_state.gen*.breaker_closed</t>
  </si>
  <si>
    <t>合位反馈，应来自辅助触点或下位机执行状态</t>
  </si>
  <si>
    <t>gen1.interlock_active / gen2.interlock_active</t>
  </si>
  <si>
    <t>HardwareActions 阻断结果</t>
  </si>
  <si>
    <t>合闸闭锁灯和上位机提示共用</t>
  </si>
  <si>
    <t>gen1.interlock_reason / gen2.interlock_reason</t>
  </si>
  <si>
    <t>HardwareActions.get_preclose_flow_blockers</t>
  </si>
  <si>
    <t>上位机展示原因；硬件灯只显示是否闭锁</t>
  </si>
  <si>
    <t>PlantCommand</t>
  </si>
  <si>
    <t>gen1.engine_start_request / gen2.engine_start_request</t>
  </si>
  <si>
    <t>PC/HW→Logic</t>
  </si>
  <si>
    <t>edge event</t>
  </si>
  <si>
    <t>toggle_engine</t>
  </si>
  <si>
    <t>起机按钮事件，经流程校验后改变运行状态</t>
  </si>
  <si>
    <t>gen1.engine_stop_request / gen2.engine_stop_request</t>
  </si>
  <si>
    <t>running=false</t>
  </si>
  <si>
    <t>停机优先，必要时联动分闸</t>
  </si>
  <si>
    <t>gen1.breaker_close_request / gen2.breaker_close_request</t>
  </si>
  <si>
    <t>toggle_breaker</t>
  </si>
  <si>
    <t>合闸请求；必须等闭锁通过后才输出合闸脉冲</t>
  </si>
  <si>
    <t>gen1.breaker_open_request / gen2.breaker_open_request</t>
  </si>
  <si>
    <t>toggle_breaker when closed</t>
  </si>
  <si>
    <t>分闸请求；优先级高于合闸</t>
  </si>
  <si>
    <t>PlantOutput</t>
  </si>
  <si>
    <t>gen*.breaker_close_pulse</t>
  </si>
  <si>
    <t>Logic→HW</t>
  </si>
  <si>
    <t>cmd_close</t>
  </si>
  <si>
    <t>合闸执行继电器，默认断开</t>
  </si>
  <si>
    <t>gen*.breaker_open_pulse</t>
  </si>
  <si>
    <t>breaker_closed=false</t>
  </si>
  <si>
    <t>分闸/跳闸执行继电器，急停或保护可触发</t>
  </si>
  <si>
    <t>system/generator/grounding lamps</t>
  </si>
  <si>
    <t>UI badge/lamp semantics</t>
  </si>
  <si>
    <t>状态灯必须跟随反馈，不跟随命令</t>
  </si>
  <si>
    <t>L1 安全与闭锁需求</t>
  </si>
  <si>
    <t>这张表用于后续硬件安全回路、下位机默认态和上位机告警逻辑评审。</t>
  </si>
  <si>
    <t>编号</t>
  </si>
  <si>
    <t>场景</t>
  </si>
  <si>
    <t>硬件/下位机要求</t>
  </si>
  <si>
    <t>上位机要求</t>
  </si>
  <si>
    <t>SAFE-001</t>
  </si>
  <si>
    <t>急停按下</t>
  </si>
  <si>
    <t>关键 DO 立即断开；安全继电器断开；未人工复位不得恢复</t>
  </si>
  <si>
    <t>显示急停，禁止新的起机/合闸命令，记录事件</t>
  </si>
  <si>
    <t>运行/合闸状态下按急停，断路器输出断开，告警灯亮</t>
  </si>
  <si>
    <t>SAFE-002</t>
  </si>
  <si>
    <t>通信超时</t>
  </si>
  <si>
    <t>下位机进入预设安全策略；危险输出断开或保持安全设计状态</t>
  </si>
  <si>
    <t>快照标记 stale/offline；不再使用旧快照通过动作判定</t>
  </si>
  <si>
    <t>拔掉通信线 2s 内进入离线提示，合闸按钮无效</t>
  </si>
  <si>
    <t>SAFE-003</t>
  </si>
  <si>
    <t>掉电/下位机复位</t>
  </si>
  <si>
    <t>DO 默认断开；复位后不得自动恢复合闸脉冲</t>
  </si>
  <si>
    <t>重新上线后要求重新读取全量快照</t>
  </si>
  <si>
    <t>断电再上电，所有输出保持安全态</t>
  </si>
  <si>
    <t>SAFE-004</t>
  </si>
  <si>
    <t>接地档位冲突</t>
  </si>
  <si>
    <t>多档同时有效或全无效时上报 invalid，不输出危险动作</t>
  </si>
  <si>
    <t>提示接地选择异常，不允许依赖接地状态的步骤继续</t>
  </si>
  <si>
    <t>人为制造双档有效，软件显示 invalid 并闭锁</t>
  </si>
  <si>
    <t>SAFE-005</t>
  </si>
  <si>
    <t>开关柜位置冲突</t>
  </si>
  <si>
    <t>多位置反馈冲突时上报 invalid_position</t>
  </si>
  <si>
    <t>工作位合闸必须读取最新位置；invalid 禁止合闸</t>
  </si>
  <si>
    <t>两路位置同时有效时按合闸，输出不动作</t>
  </si>
  <si>
    <t>SAFE-006</t>
  </si>
  <si>
    <t>合位/分位反馈冲突</t>
  </si>
  <si>
    <t>上报 invalid_breaker_feedback；必要时触发故障灯</t>
  </si>
  <si>
    <t>不能显示正常合闸；要求人工检查</t>
  </si>
  <si>
    <t>SAFE-007</t>
  </si>
  <si>
    <t>非 manual 起机</t>
  </si>
  <si>
    <t>下位机或上位机拒绝起机事件</t>
  </si>
  <si>
    <t>沿用 HardwareActions 提示：只有手动模式才能起机</t>
  </si>
  <si>
    <t>stop/auto 下按起机，不进入 running</t>
  </si>
  <si>
    <t>SAFE-008</t>
  </si>
  <si>
    <t>流程未完成合闸</t>
  </si>
  <si>
    <t>合闸执行 DO 不输出</t>
  </si>
  <si>
    <t>使用现有流程门禁给出原因；记录违规动作</t>
  </si>
  <si>
    <t>第一至四步未完成时工作位合闸被拒绝</t>
  </si>
  <si>
    <t>SAFE-009</t>
  </si>
  <si>
    <t>第一步回路测试特殊合闸</t>
  </si>
  <si>
    <t>loop_test_mode 下允许不起机合闸用于通断测试，但仅限该流程</t>
  </si>
  <si>
    <t>进入/退出第一步时明确切换 loop_test_mode</t>
  </si>
  <si>
    <t>第一步退出后恢复正常失压/流程联锁</t>
  </si>
  <si>
    <t>SAFE-010</t>
  </si>
  <si>
    <t>状态灯一致性</t>
  </si>
  <si>
    <t>灯光可本地驱动，但语义必须与快照一致</t>
  </si>
  <si>
    <t>上位机显示与硬件灯冲突时标记诊断问题</t>
  </si>
  <si>
    <t>合位反馈断开时合闸灯不得持续显示正常</t>
  </si>
  <si>
    <t>V1 验收用例草案</t>
  </si>
  <si>
    <t>用于验证 L1 实体操作硬件化是否形成“动作-反馈-软件判定-日志”的闭环。</t>
  </si>
  <si>
    <t>用例编号</t>
  </si>
  <si>
    <t>类别</t>
  </si>
  <si>
    <t>前置条件</t>
  </si>
  <si>
    <t>操作</t>
  </si>
  <si>
    <t>期望结果</t>
  </si>
  <si>
    <t>对应 IO</t>
  </si>
  <si>
    <t>ACC-001</t>
  </si>
  <si>
    <t>基础上电</t>
  </si>
  <si>
    <t>控制电源接通，通信线连接</t>
  </si>
  <si>
    <t>打开上位机并连接下位机</t>
  </si>
  <si>
    <t>电源灯亮、通信灯正常、快照 online，所有危险输出默认断开</t>
  </si>
  <si>
    <t>SYS-001/SYS-002</t>
  </si>
  <si>
    <t>ACC-002</t>
  </si>
  <si>
    <t>急停</t>
  </si>
  <si>
    <t>任一机组处于运行或断路器合位模拟状态</t>
  </si>
  <si>
    <t>按下急停</t>
  </si>
  <si>
    <t>合闸/分闸执行输出进入安全态，急停灯亮，上位机显示 estop_active</t>
  </si>
  <si>
    <t>SAFE-001/SAFE-002</t>
  </si>
  <si>
    <t>ACC-003</t>
  </si>
  <si>
    <t>系统在线</t>
  </si>
  <si>
    <t>依次选择断开、小电阻、直接接地</t>
  </si>
  <si>
    <t>上位机 grounding.mode 准确变化，三盏状态灯互斥</t>
  </si>
  <si>
    <t>GND-001~003</t>
  </si>
  <si>
    <t>ACC-004</t>
  </si>
  <si>
    <t>Gen1 起机</t>
  </si>
  <si>
    <t>Gen1 manual，急停复位，安全链正常</t>
  </si>
  <si>
    <t>按 Gen1 起机按钮</t>
  </si>
  <si>
    <t>Gen1 running 反馈有效，运行灯亮，日志记录硬件来源</t>
  </si>
  <si>
    <t>G1-004/G1-006/G1 DO-001</t>
  </si>
  <si>
    <t>ACC-005</t>
  </si>
  <si>
    <t>Gen1 非法起机</t>
  </si>
  <si>
    <t>Gen1 stop</t>
  </si>
  <si>
    <t>不上报 running，提示只有手动模式下才能起机</t>
  </si>
  <si>
    <t>G1-001/G1-004</t>
  </si>
  <si>
    <t>ACC-006</t>
  </si>
  <si>
    <t>Gen1 位置反馈</t>
  </si>
  <si>
    <t>切换 Gen1 脱开/试验/工作</t>
  </si>
  <si>
    <t>breaker_position 与硬件位置一致；冲突状态显示 invalid</t>
  </si>
  <si>
    <t>G1-007~009</t>
  </si>
  <si>
    <t>ACC-007</t>
  </si>
  <si>
    <t>Gen1 合闸闭锁</t>
  </si>
  <si>
    <t>Gen1 工作位，但前置流程未完成</t>
  </si>
  <si>
    <t>按合闸按钮</t>
  </si>
  <si>
    <t>合闸脉冲不输出，闭锁灯亮，上位机显示流程未完成</t>
  </si>
  <si>
    <t>G1-010/G1-DO-002/G1-DO-005</t>
  </si>
  <si>
    <t>ACC-008</t>
  </si>
  <si>
    <t>Gen1 合法合闸</t>
  </si>
  <si>
    <t>流程完成、工作位、安全链正常、同期/测试条件满足</t>
  </si>
  <si>
    <t>输出短合闸脉冲，合位反馈有效，合闸灯亮</t>
  </si>
  <si>
    <t>G1-010/G1-012/G1-DO-002/G1-DO-004</t>
  </si>
  <si>
    <t>ACC-009</t>
  </si>
  <si>
    <t>Gen1 分闸</t>
  </si>
  <si>
    <t>Gen1 breaker_closed=true</t>
  </si>
  <si>
    <t>按分闸按钮</t>
  </si>
  <si>
    <t>分闸输出优先生效，合位反馈消失，合闸灯灭</t>
  </si>
  <si>
    <t>G1-011/G1-DO-003</t>
  </si>
  <si>
    <t>ACC-010</t>
  </si>
  <si>
    <t>Gen2 同类操作</t>
  </si>
  <si>
    <t>同 Gen1</t>
  </si>
  <si>
    <t>重复起停、位置、分合闸</t>
  </si>
  <si>
    <t>Gen2 字段与灯光完全一致</t>
  </si>
  <si>
    <t>G2-*</t>
  </si>
  <si>
    <t>ACC-011</t>
  </si>
  <si>
    <t>通信丢失</t>
  </si>
  <si>
    <t>设备在线</t>
  </si>
  <si>
    <t>断开通信</t>
  </si>
  <si>
    <t>快照 offline/stale；危险输出安全；上位机不再接受合闸判定</t>
  </si>
  <si>
    <t>SYS-002</t>
  </si>
  <si>
    <t>ACC-012</t>
  </si>
  <si>
    <t>任意正常操作</t>
  </si>
  <si>
    <t>比对硬件灯和上位机状态</t>
  </si>
  <si>
    <t>运行灯、合闸灯、接地灯不与反馈冲突</t>
  </si>
  <si>
    <t>所有 DO 灯</t>
  </si>
  <si>
    <t>术语与取值说明</t>
  </si>
  <si>
    <t>统一评审语言，减少后续开发板选型和协议设计时的歧义。</t>
  </si>
  <si>
    <t>术语</t>
  </si>
  <si>
    <t>取值/说明</t>
  </si>
  <si>
    <t>V1属性=必选</t>
  </si>
  <si>
    <t>进入第一版硬件实训台的需求，后续选型和施工必须覆盖。</t>
  </si>
  <si>
    <t>V1属性=建议</t>
  </si>
  <si>
    <t>强烈建议一并设计，若因成本删减需记录理由。</t>
  </si>
  <si>
    <t>V1属性=预留</t>
  </si>
  <si>
    <t>本轮不实现完整功能，但结构、空间、字段或接口应避免阻断后续扩展。</t>
  </si>
  <si>
    <t>硬件到下位机/上位机的数字输入，如按钮、旋钮档位、辅助触点。</t>
  </si>
  <si>
    <t>下位机到硬件的数字输出，如灯、蜂鸣器、继电器脉冲。</t>
  </si>
  <si>
    <t>不占具体 IO 端子，但属于适配层/通信必须提供的状态。</t>
  </si>
  <si>
    <t>最高优先级，涉及安全、核心流程或闭环反馈。</t>
  </si>
  <si>
    <t>建议随 V1 交付，影响可用性、诊断或教学体验。</t>
  </si>
  <si>
    <t>后续扩展预留，不作为 V1 验收阻塞项。</t>
  </si>
  <si>
    <t>失效安全</t>
  </si>
  <si>
    <t>掉电、复位、通信超时、反馈冲突时进入无危险状态。</t>
  </si>
  <si>
    <t>str | null</t>
    <phoneticPr fontId="9" type="noConversion"/>
  </si>
  <si>
    <t>stop/manual/auto/invalid</t>
    <phoneticPr fontId="9" type="noConversion"/>
  </si>
  <si>
    <t>L1-DI-G1-011</t>
    <phoneticPr fontId="9" type="noConversion"/>
  </si>
  <si>
    <t>合位和分位同时有效，状态灯进入告警态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</si>
</sst>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8"/>
      <color rgb="FFFFFFFF"/>
      <name val="Arial"/>
      <family val="2"/>
    </font>
    <font>
      <sz val="11"/>
      <color rgb="FF1F293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color rgb="FF1F2933"/>
      <name val="Arial"/>
      <family val="2"/>
    </font>
    <font>
      <b/>
      <sz val="10"/>
      <color rgb="FF1F2933"/>
      <name val="Arial"/>
      <family val="2"/>
    </font>
    <font>
      <sz val="11"/>
      <name val="Carlito"/>
    </font>
    <font>
      <sz val="9"/>
      <name val="FangSong"/>
      <family val="3"/>
      <charset val="134"/>
    </font>
    <font>
      <sz val="10"/>
      <color rgb="FF1F2933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4FB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3" fillId="0" borderId="0" xfId="1" applyFont="1"/>
    <xf numFmtId="0" fontId="4" fillId="4" borderId="0" xfId="1" applyFont="1" applyFill="1" applyAlignment="1">
      <alignment vertical="top" wrapText="1"/>
    </xf>
    <xf numFmtId="0" fontId="5" fillId="5" borderId="0" xfId="1" applyFont="1" applyFill="1" applyAlignment="1">
      <alignment horizontal="center" vertical="center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center" vertical="top" wrapText="1"/>
    </xf>
    <xf numFmtId="0" fontId="7" fillId="4" borderId="0" xfId="1" applyFont="1" applyFill="1" applyAlignment="1">
      <alignment horizontal="center" vertical="top" wrapText="1"/>
    </xf>
    <xf numFmtId="0" fontId="7" fillId="0" borderId="0" xfId="1" applyFont="1" applyAlignment="1">
      <alignment horizontal="center"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0" borderId="0" xfId="1" applyFont="1"/>
    <xf numFmtId="0" fontId="3" fillId="0" borderId="0" xfId="1" applyFont="1" applyAlignment="1">
      <alignment vertical="top" wrapText="1"/>
    </xf>
    <xf numFmtId="0" fontId="4" fillId="4" borderId="0" xfId="1" applyFont="1" applyFill="1" applyAlignment="1">
      <alignment horizontal="center"/>
    </xf>
    <xf numFmtId="0" fontId="6" fillId="6" borderId="0" xfId="1" applyFont="1" applyFill="1" applyAlignment="1">
      <alignment vertical="center" wrapText="1"/>
    </xf>
    <xf numFmtId="0" fontId="6" fillId="7" borderId="0" xfId="1" applyFont="1" applyFill="1" applyAlignment="1">
      <alignment vertical="center" wrapText="1"/>
    </xf>
    <xf numFmtId="0" fontId="1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reePhaseL1">
  <a:themeElements>
    <a:clrScheme name="ThreePhaseL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ThreePhaseL1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zoomScale="109" workbookViewId="0">
      <selection activeCell="B14" sqref="B14"/>
    </sheetView>
  </sheetViews>
  <sheetFormatPr baseColWidth="10" defaultColWidth="8.83203125" defaultRowHeight="14"/>
  <cols>
    <col min="1" max="1" width="17.83203125" customWidth="1"/>
    <col min="2" max="2" width="19" customWidth="1"/>
    <col min="3" max="3" width="46" customWidth="1"/>
    <col min="4" max="4" width="3" customWidth="1"/>
    <col min="5" max="8" width="15.33203125" customWidth="1"/>
  </cols>
  <sheetData>
    <row r="1" spans="1:8" ht="30" customHeight="1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</row>
    <row r="2" spans="1:8" ht="34.5" customHeight="1">
      <c r="A2" s="9" t="s">
        <v>1</v>
      </c>
      <c r="B2" s="10"/>
      <c r="C2" s="10"/>
      <c r="D2" s="10"/>
      <c r="E2" s="10"/>
      <c r="F2" s="10"/>
      <c r="G2" s="10"/>
      <c r="H2" s="10"/>
    </row>
    <row r="3" spans="1:8">
      <c r="A3" s="1"/>
      <c r="B3" s="1"/>
      <c r="C3" s="1"/>
      <c r="D3" s="1"/>
      <c r="E3" s="1"/>
      <c r="F3" s="1"/>
      <c r="G3" s="1"/>
      <c r="H3" s="1"/>
    </row>
    <row r="4" spans="1:8" ht="33" customHeight="1">
      <c r="A4" s="2" t="s">
        <v>2</v>
      </c>
      <c r="B4" s="11" t="s">
        <v>3</v>
      </c>
      <c r="C4" s="11"/>
      <c r="D4" s="11"/>
      <c r="E4" s="11"/>
      <c r="F4" s="11"/>
      <c r="G4" s="11"/>
      <c r="H4" s="11"/>
    </row>
    <row r="5" spans="1:8" ht="33" customHeight="1">
      <c r="A5" s="2" t="s">
        <v>4</v>
      </c>
      <c r="B5" s="11" t="s">
        <v>5</v>
      </c>
      <c r="C5" s="11"/>
      <c r="D5" s="11"/>
      <c r="E5" s="11"/>
      <c r="F5" s="11"/>
      <c r="G5" s="11"/>
      <c r="H5" s="11"/>
    </row>
    <row r="6" spans="1:8" ht="33" customHeight="1">
      <c r="A6" s="2" t="s">
        <v>6</v>
      </c>
      <c r="B6" s="11" t="s">
        <v>7</v>
      </c>
      <c r="C6" s="11"/>
      <c r="D6" s="11"/>
      <c r="E6" s="11"/>
      <c r="F6" s="11"/>
      <c r="G6" s="11"/>
      <c r="H6" s="11"/>
    </row>
    <row r="7" spans="1:8" ht="33" customHeight="1">
      <c r="A7" s="2" t="s">
        <v>8</v>
      </c>
      <c r="B7" s="11" t="s">
        <v>9</v>
      </c>
      <c r="C7" s="11"/>
      <c r="D7" s="11"/>
      <c r="E7" s="11"/>
      <c r="F7" s="11"/>
      <c r="G7" s="11"/>
      <c r="H7" s="11"/>
    </row>
    <row r="8" spans="1:8" ht="33" customHeight="1">
      <c r="A8" s="2" t="s">
        <v>10</v>
      </c>
      <c r="B8" s="11" t="s">
        <v>11</v>
      </c>
      <c r="C8" s="11"/>
      <c r="D8" s="11"/>
      <c r="E8" s="11"/>
      <c r="F8" s="11"/>
      <c r="G8" s="11"/>
      <c r="H8" s="1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2" t="s">
        <v>12</v>
      </c>
      <c r="B10" s="12" t="s">
        <v>12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31.5" customHeight="1">
      <c r="A12" s="3" t="s">
        <v>13</v>
      </c>
      <c r="B12" s="3" t="s">
        <v>14</v>
      </c>
      <c r="C12" s="3" t="s">
        <v>15</v>
      </c>
      <c r="D12" s="1"/>
      <c r="E12" s="13" t="s">
        <v>16</v>
      </c>
      <c r="F12" s="13" t="s">
        <v>16</v>
      </c>
      <c r="G12" s="13" t="s">
        <v>16</v>
      </c>
      <c r="H12" s="13" t="s">
        <v>16</v>
      </c>
    </row>
    <row r="13" spans="1:8" ht="25.5" customHeight="1">
      <c r="A13" s="4" t="s">
        <v>17</v>
      </c>
      <c r="B13" s="5">
        <f>COUNTA('01_IO点表'!B5:B58)</f>
        <v>54</v>
      </c>
      <c r="C13" s="4" t="s">
        <v>18</v>
      </c>
      <c r="D13" s="1"/>
      <c r="E13" s="13" t="s">
        <v>16</v>
      </c>
      <c r="F13" s="13" t="s">
        <v>16</v>
      </c>
      <c r="G13" s="13" t="s">
        <v>16</v>
      </c>
      <c r="H13" s="13" t="s">
        <v>16</v>
      </c>
    </row>
    <row r="14" spans="1:8" ht="25.5" customHeight="1">
      <c r="A14" s="4" t="s">
        <v>19</v>
      </c>
      <c r="B14" s="5">
        <f>COUNTIF('01_IO点表'!C:C,"必选")</f>
        <v>43</v>
      </c>
      <c r="C14" s="4" t="s">
        <v>20</v>
      </c>
      <c r="D14" s="1"/>
      <c r="E14" s="13" t="s">
        <v>16</v>
      </c>
      <c r="F14" s="13" t="s">
        <v>16</v>
      </c>
      <c r="G14" s="13" t="s">
        <v>16</v>
      </c>
      <c r="H14" s="13" t="s">
        <v>16</v>
      </c>
    </row>
    <row r="15" spans="1:8" ht="25.5" customHeight="1">
      <c r="A15" s="4" t="s">
        <v>21</v>
      </c>
      <c r="B15" s="5">
        <f>COUNTIF('01_IO点表'!C:C,"建议")</f>
        <v>7</v>
      </c>
      <c r="C15" s="4" t="s">
        <v>22</v>
      </c>
      <c r="D15" s="1"/>
      <c r="E15" s="13" t="s">
        <v>16</v>
      </c>
      <c r="F15" s="13" t="s">
        <v>16</v>
      </c>
      <c r="G15" s="13" t="s">
        <v>16</v>
      </c>
      <c r="H15" s="13" t="s">
        <v>16</v>
      </c>
    </row>
    <row r="16" spans="1:8" ht="25.5" customHeight="1">
      <c r="A16" s="4" t="s">
        <v>23</v>
      </c>
      <c r="B16" s="5">
        <f>COUNTIF('01_IO点表'!C:C,"预留")</f>
        <v>4</v>
      </c>
      <c r="C16" s="4" t="s">
        <v>24</v>
      </c>
      <c r="D16" s="1"/>
      <c r="E16" s="13" t="s">
        <v>16</v>
      </c>
      <c r="F16" s="13" t="s">
        <v>16</v>
      </c>
      <c r="G16" s="13" t="s">
        <v>16</v>
      </c>
      <c r="H16" s="13" t="s">
        <v>16</v>
      </c>
    </row>
    <row r="17" spans="1:8" ht="25.5" customHeight="1">
      <c r="A17" s="4" t="s">
        <v>25</v>
      </c>
      <c r="B17" s="5">
        <f>COUNTIF('01_IO点表'!G:G,"DI")</f>
        <v>35</v>
      </c>
      <c r="C17" s="4" t="s">
        <v>26</v>
      </c>
      <c r="D17" s="1"/>
      <c r="E17" s="13" t="s">
        <v>16</v>
      </c>
      <c r="F17" s="13" t="s">
        <v>16</v>
      </c>
      <c r="G17" s="13" t="s">
        <v>16</v>
      </c>
      <c r="H17" s="13" t="s">
        <v>16</v>
      </c>
    </row>
    <row r="18" spans="1:8" ht="25.5" customHeight="1">
      <c r="A18" s="4" t="s">
        <v>27</v>
      </c>
      <c r="B18" s="5">
        <f>COUNTIF('01_IO点表'!G:G,"DO")</f>
        <v>18</v>
      </c>
      <c r="C18" s="4" t="s">
        <v>28</v>
      </c>
      <c r="D18" s="1"/>
      <c r="E18" s="13" t="s">
        <v>16</v>
      </c>
      <c r="F18" s="13" t="s">
        <v>16</v>
      </c>
      <c r="G18" s="13" t="s">
        <v>16</v>
      </c>
      <c r="H18" s="13" t="s">
        <v>16</v>
      </c>
    </row>
    <row r="19" spans="1:8" ht="25.5" customHeight="1">
      <c r="A19" s="4" t="s">
        <v>29</v>
      </c>
      <c r="B19" s="5">
        <f>COUNTIF('01_IO点表'!G:G,"内部状态")</f>
        <v>1</v>
      </c>
      <c r="C19" s="4" t="s">
        <v>30</v>
      </c>
      <c r="D19" s="1"/>
      <c r="E19" s="13" t="s">
        <v>16</v>
      </c>
      <c r="F19" s="13" t="s">
        <v>16</v>
      </c>
      <c r="G19" s="13" t="s">
        <v>16</v>
      </c>
      <c r="H19" s="13" t="s">
        <v>16</v>
      </c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31.5" customHeight="1">
      <c r="A22" s="3" t="s">
        <v>31</v>
      </c>
      <c r="B22" s="3" t="s">
        <v>32</v>
      </c>
      <c r="C22" s="3" t="s">
        <v>33</v>
      </c>
      <c r="D22" s="1"/>
      <c r="E22" s="1"/>
      <c r="F22" s="1"/>
      <c r="G22" s="1"/>
      <c r="H22" s="1"/>
    </row>
    <row r="23" spans="1:8" ht="20" customHeight="1">
      <c r="A23" s="4" t="s">
        <v>34</v>
      </c>
      <c r="B23" s="5">
        <f>COUNTIF('01_IO点表'!S:S,"优先实现")</f>
        <v>33</v>
      </c>
      <c r="C23" s="4" t="s">
        <v>35</v>
      </c>
      <c r="D23" s="1"/>
      <c r="E23" s="1"/>
      <c r="F23" s="1"/>
      <c r="G23" s="1"/>
      <c r="H23" s="1"/>
    </row>
    <row r="24" spans="1:8" ht="20" customHeight="1">
      <c r="A24" s="4" t="s">
        <v>36</v>
      </c>
      <c r="B24" s="5">
        <f>COUNTIF('01_IO点表'!S:S,"可简化")</f>
        <v>8</v>
      </c>
      <c r="C24" s="4" t="s">
        <v>37</v>
      </c>
      <c r="D24" s="1"/>
      <c r="E24" s="1"/>
      <c r="F24" s="1"/>
      <c r="G24" s="1"/>
      <c r="H24" s="1"/>
    </row>
    <row r="25" spans="1:8" ht="20" customHeight="1">
      <c r="A25" s="4" t="s">
        <v>38</v>
      </c>
      <c r="B25" s="5">
        <f>COUNTIF('01_IO点表'!S:S,"暂缓扩展")</f>
        <v>13</v>
      </c>
      <c r="C25" s="4" t="s">
        <v>39</v>
      </c>
      <c r="D25" s="1"/>
      <c r="E25" s="1"/>
      <c r="F25" s="1"/>
      <c r="G25" s="1"/>
      <c r="H25" s="1"/>
    </row>
  </sheetData>
  <mergeCells count="9">
    <mergeCell ref="B7:H7"/>
    <mergeCell ref="B8:H8"/>
    <mergeCell ref="A10:H10"/>
    <mergeCell ref="E12:H19"/>
    <mergeCell ref="A1:H1"/>
    <mergeCell ref="A2:H2"/>
    <mergeCell ref="B4:H4"/>
    <mergeCell ref="B5:H5"/>
    <mergeCell ref="B6:H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="150" workbookViewId="0">
      <selection activeCell="H23" sqref="H23"/>
    </sheetView>
  </sheetViews>
  <sheetFormatPr baseColWidth="10" defaultColWidth="8.83203125" defaultRowHeight="14"/>
  <cols>
    <col min="1" max="1" width="12.83203125" customWidth="1"/>
    <col min="2" max="2" width="22.6640625" customWidth="1"/>
    <col min="3" max="4" width="63.1640625" customWidth="1"/>
  </cols>
  <sheetData>
    <row r="1" spans="1:4" ht="30" customHeight="1">
      <c r="A1" s="8" t="s">
        <v>40</v>
      </c>
      <c r="B1" s="8" t="s">
        <v>40</v>
      </c>
      <c r="C1" s="8" t="s">
        <v>40</v>
      </c>
      <c r="D1" s="8" t="s">
        <v>40</v>
      </c>
    </row>
    <row r="2" spans="1:4" ht="34.5" customHeight="1">
      <c r="A2" s="9" t="s">
        <v>41</v>
      </c>
      <c r="B2" s="10"/>
      <c r="C2" s="10"/>
      <c r="D2" s="10"/>
    </row>
    <row r="3" spans="1:4">
      <c r="A3" s="1"/>
      <c r="B3" s="1"/>
      <c r="C3" s="1"/>
      <c r="D3" s="1"/>
    </row>
    <row r="4" spans="1:4" ht="31.5" customHeight="1">
      <c r="A4" s="3" t="s">
        <v>42</v>
      </c>
      <c r="B4" s="3" t="s">
        <v>43</v>
      </c>
      <c r="C4" s="3" t="s">
        <v>44</v>
      </c>
      <c r="D4" s="3" t="s">
        <v>45</v>
      </c>
    </row>
    <row r="5" spans="1:4" ht="28">
      <c r="A5" s="6" t="s">
        <v>34</v>
      </c>
      <c r="B5" s="4" t="s">
        <v>46</v>
      </c>
      <c r="C5" s="4" t="s">
        <v>47</v>
      </c>
      <c r="D5" s="4" t="s">
        <v>48</v>
      </c>
    </row>
    <row r="6" spans="1:4" ht="28">
      <c r="A6" s="6" t="s">
        <v>36</v>
      </c>
      <c r="B6" s="4" t="s">
        <v>49</v>
      </c>
      <c r="C6" s="4" t="s">
        <v>50</v>
      </c>
      <c r="D6" s="4" t="s">
        <v>51</v>
      </c>
    </row>
    <row r="7" spans="1:4" ht="28">
      <c r="A7" s="6" t="s">
        <v>38</v>
      </c>
      <c r="B7" s="4" t="s">
        <v>52</v>
      </c>
      <c r="C7" s="4" t="s">
        <v>53</v>
      </c>
      <c r="D7" s="4" t="s">
        <v>54</v>
      </c>
    </row>
    <row r="8" spans="1:4" ht="28">
      <c r="A8" s="6" t="s">
        <v>55</v>
      </c>
      <c r="B8" s="4" t="s">
        <v>56</v>
      </c>
      <c r="C8" s="4" t="s">
        <v>57</v>
      </c>
      <c r="D8" s="4" t="s">
        <v>58</v>
      </c>
    </row>
    <row r="9" spans="1:4">
      <c r="A9" s="1"/>
      <c r="B9" s="1"/>
      <c r="C9" s="1"/>
      <c r="D9" s="1"/>
    </row>
    <row r="10" spans="1:4">
      <c r="A10" s="14" t="s">
        <v>59</v>
      </c>
      <c r="B10" s="14" t="s">
        <v>59</v>
      </c>
      <c r="C10" s="14" t="s">
        <v>59</v>
      </c>
      <c r="D10" s="14" t="s">
        <v>59</v>
      </c>
    </row>
    <row r="11" spans="1:4">
      <c r="A11" s="14" t="s">
        <v>59</v>
      </c>
      <c r="B11" s="14" t="s">
        <v>59</v>
      </c>
      <c r="C11" s="14" t="s">
        <v>59</v>
      </c>
      <c r="D11" s="14" t="s">
        <v>59</v>
      </c>
    </row>
    <row r="12" spans="1:4">
      <c r="A12" s="1"/>
      <c r="B12" s="1"/>
      <c r="C12" s="1"/>
      <c r="D12" s="1"/>
    </row>
    <row r="13" spans="1:4" ht="31.5" customHeight="1">
      <c r="A13" s="3" t="s">
        <v>60</v>
      </c>
      <c r="B13" s="3" t="s">
        <v>61</v>
      </c>
      <c r="C13" s="3" t="s">
        <v>62</v>
      </c>
      <c r="D13" s="3" t="s">
        <v>63</v>
      </c>
    </row>
    <row r="14" spans="1:4" ht="25" customHeight="1">
      <c r="A14" s="5">
        <v>1</v>
      </c>
      <c r="B14" s="4" t="s">
        <v>64</v>
      </c>
      <c r="C14" s="4" t="s">
        <v>65</v>
      </c>
      <c r="D14" s="4" t="s">
        <v>66</v>
      </c>
    </row>
    <row r="15" spans="1:4" ht="25" customHeight="1">
      <c r="A15" s="5">
        <v>2</v>
      </c>
      <c r="B15" s="4" t="s">
        <v>67</v>
      </c>
      <c r="C15" s="4" t="s">
        <v>68</v>
      </c>
      <c r="D15" s="4" t="s">
        <v>69</v>
      </c>
    </row>
    <row r="16" spans="1:4" ht="25" customHeight="1">
      <c r="A16" s="5">
        <v>3</v>
      </c>
      <c r="B16" s="4" t="s">
        <v>70</v>
      </c>
      <c r="C16" s="4" t="s">
        <v>71</v>
      </c>
      <c r="D16" s="4" t="s">
        <v>72</v>
      </c>
    </row>
    <row r="17" spans="1:4" ht="25" customHeight="1">
      <c r="A17" s="5">
        <v>4</v>
      </c>
      <c r="B17" s="4" t="s">
        <v>73</v>
      </c>
      <c r="C17" s="4" t="s">
        <v>74</v>
      </c>
      <c r="D17" s="4" t="s">
        <v>75</v>
      </c>
    </row>
    <row r="18" spans="1:4" ht="25" customHeight="1">
      <c r="A18" s="5">
        <v>5</v>
      </c>
      <c r="B18" s="4" t="s">
        <v>76</v>
      </c>
      <c r="C18" s="4" t="s">
        <v>77</v>
      </c>
      <c r="D18" s="4" t="s">
        <v>78</v>
      </c>
    </row>
    <row r="19" spans="1:4" ht="25" customHeight="1">
      <c r="A19" s="5">
        <v>6</v>
      </c>
      <c r="B19" s="4" t="s">
        <v>79</v>
      </c>
      <c r="C19" s="4" t="s">
        <v>80</v>
      </c>
      <c r="D19" s="4" t="s">
        <v>81</v>
      </c>
    </row>
  </sheetData>
  <mergeCells count="3">
    <mergeCell ref="A1:D1"/>
    <mergeCell ref="A2:D2"/>
    <mergeCell ref="A10:D1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8"/>
  <sheetViews>
    <sheetView showGridLines="0" topLeftCell="M42" zoomScale="136" workbookViewId="0">
      <selection activeCell="O40" sqref="O40"/>
    </sheetView>
  </sheetViews>
  <sheetFormatPr baseColWidth="10" defaultColWidth="8.83203125" defaultRowHeight="14"/>
  <cols>
    <col min="1" max="1" width="5.5" customWidth="1"/>
    <col min="2" max="2" width="17.1640625" customWidth="1"/>
    <col min="3" max="4" width="8" customWidth="1"/>
    <col min="5" max="5" width="10.6640625" customWidth="1"/>
    <col min="6" max="6" width="21.5" customWidth="1"/>
    <col min="7" max="7" width="8.6640625" customWidth="1"/>
    <col min="8" max="8" width="13.5" customWidth="1"/>
    <col min="9" max="10" width="25.1640625" customWidth="1"/>
    <col min="11" max="11" width="17.83203125" customWidth="1"/>
    <col min="12" max="14" width="26.33203125" customWidth="1"/>
    <col min="15" max="17" width="28.83203125" customWidth="1"/>
    <col min="18" max="18" width="31.33203125" customWidth="1"/>
    <col min="19" max="19" width="12.33203125" customWidth="1"/>
    <col min="20" max="20" width="31.33203125" customWidth="1"/>
  </cols>
  <sheetData>
    <row r="1" spans="1:20" ht="30" customHeight="1">
      <c r="A1" s="8" t="s">
        <v>82</v>
      </c>
      <c r="B1" s="8" t="s">
        <v>82</v>
      </c>
      <c r="C1" s="8" t="s">
        <v>82</v>
      </c>
      <c r="D1" s="8" t="s">
        <v>82</v>
      </c>
      <c r="E1" s="8" t="s">
        <v>82</v>
      </c>
      <c r="F1" s="8" t="s">
        <v>82</v>
      </c>
      <c r="G1" s="8" t="s">
        <v>82</v>
      </c>
      <c r="H1" s="8" t="s">
        <v>82</v>
      </c>
      <c r="I1" s="8" t="s">
        <v>82</v>
      </c>
      <c r="J1" s="8" t="s">
        <v>82</v>
      </c>
      <c r="K1" s="8" t="s">
        <v>82</v>
      </c>
      <c r="L1" s="8" t="s">
        <v>82</v>
      </c>
      <c r="M1" s="8" t="s">
        <v>82</v>
      </c>
      <c r="N1" s="8" t="s">
        <v>82</v>
      </c>
      <c r="O1" s="8" t="s">
        <v>82</v>
      </c>
      <c r="P1" s="8" t="s">
        <v>82</v>
      </c>
      <c r="Q1" s="8" t="s">
        <v>82</v>
      </c>
      <c r="R1" s="8" t="s">
        <v>82</v>
      </c>
      <c r="S1" s="8" t="s">
        <v>82</v>
      </c>
      <c r="T1" s="8" t="s">
        <v>82</v>
      </c>
    </row>
    <row r="2" spans="1:20" ht="34.5" customHeight="1">
      <c r="A2" s="9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5" customHeight="1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  <c r="L4" s="3" t="s">
        <v>95</v>
      </c>
      <c r="M4" s="3" t="s">
        <v>96</v>
      </c>
      <c r="N4" s="3" t="s">
        <v>97</v>
      </c>
      <c r="O4" s="3" t="s">
        <v>98</v>
      </c>
      <c r="P4" s="3" t="s">
        <v>99</v>
      </c>
      <c r="Q4" s="3" t="s">
        <v>100</v>
      </c>
      <c r="R4" s="3" t="s">
        <v>101</v>
      </c>
      <c r="S4" s="3" t="s">
        <v>31</v>
      </c>
      <c r="T4" s="3" t="s">
        <v>102</v>
      </c>
    </row>
    <row r="5" spans="1:20" ht="28">
      <c r="A5" s="5">
        <v>1</v>
      </c>
      <c r="B5" s="4" t="s">
        <v>103</v>
      </c>
      <c r="C5" s="5" t="s">
        <v>104</v>
      </c>
      <c r="D5" s="5" t="s">
        <v>105</v>
      </c>
      <c r="E5" s="4" t="s">
        <v>106</v>
      </c>
      <c r="F5" s="4" t="s">
        <v>107</v>
      </c>
      <c r="G5" s="5" t="s">
        <v>108</v>
      </c>
      <c r="H5" s="5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116</v>
      </c>
      <c r="P5" s="4" t="s">
        <v>117</v>
      </c>
      <c r="Q5" s="4" t="s">
        <v>118</v>
      </c>
      <c r="R5" s="4" t="s">
        <v>119</v>
      </c>
      <c r="S5" s="7" t="s">
        <v>36</v>
      </c>
      <c r="T5" s="4" t="s">
        <v>120</v>
      </c>
    </row>
    <row r="6" spans="1:20" ht="28">
      <c r="A6" s="5">
        <v>2</v>
      </c>
      <c r="B6" s="4" t="s">
        <v>121</v>
      </c>
      <c r="C6" s="5" t="s">
        <v>104</v>
      </c>
      <c r="D6" s="5" t="s">
        <v>105</v>
      </c>
      <c r="E6" s="4" t="s">
        <v>106</v>
      </c>
      <c r="F6" s="4" t="s">
        <v>122</v>
      </c>
      <c r="G6" s="5" t="s">
        <v>29</v>
      </c>
      <c r="H6" s="5" t="s">
        <v>123</v>
      </c>
      <c r="I6" s="4" t="s">
        <v>124</v>
      </c>
      <c r="J6" s="4" t="s">
        <v>125</v>
      </c>
      <c r="K6" s="4" t="s">
        <v>126</v>
      </c>
      <c r="L6" s="4" t="s">
        <v>127</v>
      </c>
      <c r="M6" s="4" t="s">
        <v>128</v>
      </c>
      <c r="N6" s="4" t="s">
        <v>129</v>
      </c>
      <c r="O6" s="4" t="s">
        <v>130</v>
      </c>
      <c r="P6" s="4" t="s">
        <v>131</v>
      </c>
      <c r="Q6" s="4" t="s">
        <v>132</v>
      </c>
      <c r="R6" s="4" t="s">
        <v>133</v>
      </c>
      <c r="S6" s="7" t="s">
        <v>34</v>
      </c>
      <c r="T6" s="4" t="s">
        <v>134</v>
      </c>
    </row>
    <row r="7" spans="1:20" ht="28">
      <c r="A7" s="5">
        <v>3</v>
      </c>
      <c r="B7" s="4" t="s">
        <v>135</v>
      </c>
      <c r="C7" s="5" t="s">
        <v>104</v>
      </c>
      <c r="D7" s="5" t="s">
        <v>136</v>
      </c>
      <c r="E7" s="4" t="s">
        <v>106</v>
      </c>
      <c r="F7" s="4" t="s">
        <v>137</v>
      </c>
      <c r="G7" s="5" t="s">
        <v>138</v>
      </c>
      <c r="H7" s="5" t="s">
        <v>139</v>
      </c>
      <c r="I7" s="4" t="s">
        <v>140</v>
      </c>
      <c r="J7" s="4" t="s">
        <v>141</v>
      </c>
      <c r="K7" s="4" t="s">
        <v>142</v>
      </c>
      <c r="L7" s="4" t="s">
        <v>143</v>
      </c>
      <c r="M7" s="4" t="s">
        <v>144</v>
      </c>
      <c r="N7" s="4" t="s">
        <v>145</v>
      </c>
      <c r="O7" s="4" t="s">
        <v>146</v>
      </c>
      <c r="P7" s="4" t="s">
        <v>147</v>
      </c>
      <c r="Q7" s="4" t="s">
        <v>148</v>
      </c>
      <c r="R7" s="4" t="s">
        <v>149</v>
      </c>
      <c r="S7" s="7" t="s">
        <v>36</v>
      </c>
      <c r="T7" s="4" t="s">
        <v>120</v>
      </c>
    </row>
    <row r="8" spans="1:20" ht="28">
      <c r="A8" s="5">
        <v>4</v>
      </c>
      <c r="B8" s="4" t="s">
        <v>150</v>
      </c>
      <c r="C8" s="5" t="s">
        <v>104</v>
      </c>
      <c r="D8" s="5" t="s">
        <v>136</v>
      </c>
      <c r="E8" s="4" t="s">
        <v>106</v>
      </c>
      <c r="F8" s="4" t="s">
        <v>151</v>
      </c>
      <c r="G8" s="5" t="s">
        <v>138</v>
      </c>
      <c r="H8" s="5" t="s">
        <v>139</v>
      </c>
      <c r="I8" s="4" t="s">
        <v>152</v>
      </c>
      <c r="J8" s="4" t="s">
        <v>153</v>
      </c>
      <c r="K8" s="4" t="s">
        <v>154</v>
      </c>
      <c r="L8" s="4" t="s">
        <v>155</v>
      </c>
      <c r="M8" s="4" t="s">
        <v>144</v>
      </c>
      <c r="N8" s="4" t="s">
        <v>156</v>
      </c>
      <c r="O8" s="4" t="s">
        <v>157</v>
      </c>
      <c r="P8" s="4" t="s">
        <v>158</v>
      </c>
      <c r="Q8" s="4" t="s">
        <v>159</v>
      </c>
      <c r="R8" s="4" t="s">
        <v>160</v>
      </c>
      <c r="S8" s="7" t="s">
        <v>36</v>
      </c>
      <c r="T8" s="4" t="s">
        <v>120</v>
      </c>
    </row>
    <row r="9" spans="1:20" ht="28">
      <c r="A9" s="5">
        <v>5</v>
      </c>
      <c r="B9" s="4" t="s">
        <v>161</v>
      </c>
      <c r="C9" s="5" t="s">
        <v>104</v>
      </c>
      <c r="D9" s="5" t="s">
        <v>105</v>
      </c>
      <c r="E9" s="4" t="s">
        <v>162</v>
      </c>
      <c r="F9" s="4" t="s">
        <v>163</v>
      </c>
      <c r="G9" s="5" t="s">
        <v>108</v>
      </c>
      <c r="H9" s="5" t="s">
        <v>164</v>
      </c>
      <c r="I9" s="4" t="s">
        <v>165</v>
      </c>
      <c r="J9" s="4" t="s">
        <v>166</v>
      </c>
      <c r="K9" s="4" t="s">
        <v>167</v>
      </c>
      <c r="L9" s="4" t="s">
        <v>168</v>
      </c>
      <c r="M9" s="4" t="s">
        <v>169</v>
      </c>
      <c r="N9" s="4" t="s">
        <v>170</v>
      </c>
      <c r="O9" s="4" t="s">
        <v>171</v>
      </c>
      <c r="P9" s="4" t="s">
        <v>172</v>
      </c>
      <c r="Q9" s="4" t="s">
        <v>173</v>
      </c>
      <c r="R9" s="4" t="s">
        <v>174</v>
      </c>
      <c r="S9" s="7" t="s">
        <v>34</v>
      </c>
      <c r="T9" s="4" t="s">
        <v>134</v>
      </c>
    </row>
    <row r="10" spans="1:20" ht="28">
      <c r="A10" s="5">
        <v>6</v>
      </c>
      <c r="B10" s="4" t="s">
        <v>175</v>
      </c>
      <c r="C10" s="5" t="s">
        <v>104</v>
      </c>
      <c r="D10" s="5" t="s">
        <v>105</v>
      </c>
      <c r="E10" s="4" t="s">
        <v>162</v>
      </c>
      <c r="F10" s="4" t="s">
        <v>176</v>
      </c>
      <c r="G10" s="5" t="s">
        <v>108</v>
      </c>
      <c r="H10" s="5" t="s">
        <v>177</v>
      </c>
      <c r="I10" s="4" t="s">
        <v>178</v>
      </c>
      <c r="J10" s="4" t="s">
        <v>179</v>
      </c>
      <c r="K10" s="4" t="s">
        <v>180</v>
      </c>
      <c r="L10" s="4" t="s">
        <v>181</v>
      </c>
      <c r="M10" s="4" t="s">
        <v>128</v>
      </c>
      <c r="N10" s="4" t="s">
        <v>182</v>
      </c>
      <c r="O10" s="4" t="s">
        <v>183</v>
      </c>
      <c r="P10" s="4" t="s">
        <v>184</v>
      </c>
      <c r="Q10" s="4" t="s">
        <v>185</v>
      </c>
      <c r="R10" s="4" t="s">
        <v>186</v>
      </c>
      <c r="S10" s="7" t="s">
        <v>36</v>
      </c>
      <c r="T10" s="4" t="s">
        <v>120</v>
      </c>
    </row>
    <row r="11" spans="1:20" ht="28">
      <c r="A11" s="5">
        <v>7</v>
      </c>
      <c r="B11" s="4" t="s">
        <v>187</v>
      </c>
      <c r="C11" s="5" t="s">
        <v>104</v>
      </c>
      <c r="D11" s="5" t="s">
        <v>105</v>
      </c>
      <c r="E11" s="4" t="s">
        <v>162</v>
      </c>
      <c r="F11" s="4" t="s">
        <v>188</v>
      </c>
      <c r="G11" s="5" t="s">
        <v>138</v>
      </c>
      <c r="H11" s="5" t="s">
        <v>189</v>
      </c>
      <c r="I11" s="4" t="s">
        <v>190</v>
      </c>
      <c r="J11" s="4" t="s">
        <v>191</v>
      </c>
      <c r="K11" s="4" t="s">
        <v>154</v>
      </c>
      <c r="L11" s="4" t="s">
        <v>192</v>
      </c>
      <c r="M11" s="4" t="s">
        <v>144</v>
      </c>
      <c r="N11" s="4" t="s">
        <v>193</v>
      </c>
      <c r="O11" s="4" t="s">
        <v>194</v>
      </c>
      <c r="P11" s="4" t="s">
        <v>195</v>
      </c>
      <c r="Q11" s="4" t="s">
        <v>196</v>
      </c>
      <c r="R11" s="4" t="s">
        <v>197</v>
      </c>
      <c r="S11" s="7" t="s">
        <v>34</v>
      </c>
      <c r="T11" s="4" t="s">
        <v>134</v>
      </c>
    </row>
    <row r="12" spans="1:20" ht="42">
      <c r="A12" s="5">
        <v>8</v>
      </c>
      <c r="B12" s="4" t="s">
        <v>198</v>
      </c>
      <c r="C12" s="5" t="s">
        <v>199</v>
      </c>
      <c r="D12" s="5" t="s">
        <v>136</v>
      </c>
      <c r="E12" s="4" t="s">
        <v>162</v>
      </c>
      <c r="F12" s="4" t="s">
        <v>200</v>
      </c>
      <c r="G12" s="5" t="s">
        <v>138</v>
      </c>
      <c r="H12" s="5" t="s">
        <v>201</v>
      </c>
      <c r="I12" s="4" t="s">
        <v>202</v>
      </c>
      <c r="J12" s="4" t="s">
        <v>203</v>
      </c>
      <c r="K12" s="4" t="s">
        <v>204</v>
      </c>
      <c r="L12" s="4" t="s">
        <v>205</v>
      </c>
      <c r="M12" s="4" t="s">
        <v>144</v>
      </c>
      <c r="N12" s="4" t="s">
        <v>206</v>
      </c>
      <c r="O12" s="4" t="s">
        <v>207</v>
      </c>
      <c r="P12" s="4" t="s">
        <v>208</v>
      </c>
      <c r="Q12" s="4" t="s">
        <v>209</v>
      </c>
      <c r="R12" s="4" t="s">
        <v>210</v>
      </c>
      <c r="S12" s="7" t="s">
        <v>38</v>
      </c>
      <c r="T12" s="4" t="s">
        <v>211</v>
      </c>
    </row>
    <row r="13" spans="1:20" ht="42">
      <c r="A13" s="5">
        <v>9</v>
      </c>
      <c r="B13" s="4" t="s">
        <v>212</v>
      </c>
      <c r="C13" s="5" t="s">
        <v>199</v>
      </c>
      <c r="D13" s="5" t="s">
        <v>136</v>
      </c>
      <c r="E13" s="4" t="s">
        <v>162</v>
      </c>
      <c r="F13" s="4" t="s">
        <v>213</v>
      </c>
      <c r="G13" s="5" t="s">
        <v>108</v>
      </c>
      <c r="H13" s="5" t="s">
        <v>214</v>
      </c>
      <c r="I13" s="4" t="s">
        <v>215</v>
      </c>
      <c r="J13" s="4" t="s">
        <v>216</v>
      </c>
      <c r="K13" s="4" t="s">
        <v>217</v>
      </c>
      <c r="L13" s="4" t="s">
        <v>218</v>
      </c>
      <c r="M13" s="4" t="s">
        <v>144</v>
      </c>
      <c r="N13" s="4" t="s">
        <v>219</v>
      </c>
      <c r="O13" s="4" t="s">
        <v>220</v>
      </c>
      <c r="P13" s="4" t="s">
        <v>221</v>
      </c>
      <c r="Q13" s="4" t="s">
        <v>222</v>
      </c>
      <c r="R13" s="4" t="s">
        <v>223</v>
      </c>
      <c r="S13" s="7" t="s">
        <v>38</v>
      </c>
      <c r="T13" s="4" t="s">
        <v>211</v>
      </c>
    </row>
    <row r="14" spans="1:20" ht="28">
      <c r="A14" s="5">
        <v>10</v>
      </c>
      <c r="B14" s="4" t="s">
        <v>224</v>
      </c>
      <c r="C14" s="5" t="s">
        <v>104</v>
      </c>
      <c r="D14" s="5" t="s">
        <v>105</v>
      </c>
      <c r="E14" s="4" t="s">
        <v>225</v>
      </c>
      <c r="F14" s="4" t="s">
        <v>226</v>
      </c>
      <c r="G14" s="5" t="s">
        <v>108</v>
      </c>
      <c r="H14" s="5" t="s">
        <v>227</v>
      </c>
      <c r="I14" s="4" t="s">
        <v>228</v>
      </c>
      <c r="J14" s="4" t="s">
        <v>229</v>
      </c>
      <c r="K14" s="4" t="s">
        <v>230</v>
      </c>
      <c r="L14" s="4" t="s">
        <v>231</v>
      </c>
      <c r="M14" s="4" t="s">
        <v>232</v>
      </c>
      <c r="N14" s="4" t="s">
        <v>233</v>
      </c>
      <c r="O14" s="4" t="s">
        <v>234</v>
      </c>
      <c r="P14" s="4" t="s">
        <v>235</v>
      </c>
      <c r="Q14" s="4" t="s">
        <v>236</v>
      </c>
      <c r="R14" s="4" t="s">
        <v>237</v>
      </c>
      <c r="S14" s="7" t="s">
        <v>34</v>
      </c>
      <c r="T14" s="4" t="s">
        <v>134</v>
      </c>
    </row>
    <row r="15" spans="1:20" ht="28">
      <c r="A15" s="5">
        <v>11</v>
      </c>
      <c r="B15" s="4" t="s">
        <v>238</v>
      </c>
      <c r="C15" s="5" t="s">
        <v>104</v>
      </c>
      <c r="D15" s="5" t="s">
        <v>105</v>
      </c>
      <c r="E15" s="4" t="s">
        <v>225</v>
      </c>
      <c r="F15" s="4" t="s">
        <v>239</v>
      </c>
      <c r="G15" s="5" t="s">
        <v>108</v>
      </c>
      <c r="H15" s="5" t="s">
        <v>227</v>
      </c>
      <c r="I15" s="4" t="s">
        <v>240</v>
      </c>
      <c r="J15" s="4" t="s">
        <v>241</v>
      </c>
      <c r="K15" s="4" t="s">
        <v>242</v>
      </c>
      <c r="L15" s="4" t="s">
        <v>243</v>
      </c>
      <c r="M15" s="4" t="s">
        <v>244</v>
      </c>
      <c r="N15" s="4" t="s">
        <v>233</v>
      </c>
      <c r="O15" s="4" t="s">
        <v>234</v>
      </c>
      <c r="P15" s="4" t="s">
        <v>245</v>
      </c>
      <c r="Q15" s="4" t="s">
        <v>246</v>
      </c>
      <c r="R15" s="4" t="s">
        <v>247</v>
      </c>
      <c r="S15" s="7" t="s">
        <v>34</v>
      </c>
      <c r="T15" s="4" t="s">
        <v>134</v>
      </c>
    </row>
    <row r="16" spans="1:20" ht="42">
      <c r="A16" s="5">
        <v>12</v>
      </c>
      <c r="B16" s="4" t="s">
        <v>248</v>
      </c>
      <c r="C16" s="5" t="s">
        <v>104</v>
      </c>
      <c r="D16" s="5" t="s">
        <v>105</v>
      </c>
      <c r="E16" s="4" t="s">
        <v>225</v>
      </c>
      <c r="F16" s="4" t="s">
        <v>249</v>
      </c>
      <c r="G16" s="5" t="s">
        <v>108</v>
      </c>
      <c r="H16" s="5" t="s">
        <v>227</v>
      </c>
      <c r="I16" s="4" t="s">
        <v>250</v>
      </c>
      <c r="J16" s="4" t="s">
        <v>251</v>
      </c>
      <c r="K16" s="4" t="s">
        <v>252</v>
      </c>
      <c r="L16" s="4" t="s">
        <v>253</v>
      </c>
      <c r="M16" s="4" t="s">
        <v>254</v>
      </c>
      <c r="N16" s="4" t="s">
        <v>233</v>
      </c>
      <c r="O16" s="4" t="s">
        <v>234</v>
      </c>
      <c r="P16" s="4" t="s">
        <v>255</v>
      </c>
      <c r="Q16" s="4" t="s">
        <v>256</v>
      </c>
      <c r="R16" s="4" t="s">
        <v>257</v>
      </c>
      <c r="S16" s="7" t="s">
        <v>38</v>
      </c>
      <c r="T16" s="4" t="s">
        <v>211</v>
      </c>
    </row>
    <row r="17" spans="1:20" ht="28">
      <c r="A17" s="5">
        <v>13</v>
      </c>
      <c r="B17" s="4" t="s">
        <v>258</v>
      </c>
      <c r="C17" s="5" t="s">
        <v>104</v>
      </c>
      <c r="D17" s="5" t="s">
        <v>136</v>
      </c>
      <c r="E17" s="4" t="s">
        <v>225</v>
      </c>
      <c r="F17" s="4" t="s">
        <v>259</v>
      </c>
      <c r="G17" s="5" t="s">
        <v>138</v>
      </c>
      <c r="H17" s="5" t="s">
        <v>139</v>
      </c>
      <c r="I17" s="4" t="s">
        <v>260</v>
      </c>
      <c r="J17" s="4" t="s">
        <v>261</v>
      </c>
      <c r="K17" s="4" t="s">
        <v>142</v>
      </c>
      <c r="L17" s="4" t="s">
        <v>262</v>
      </c>
      <c r="M17" s="4" t="s">
        <v>263</v>
      </c>
      <c r="N17" s="4" t="s">
        <v>264</v>
      </c>
      <c r="O17" s="4" t="s">
        <v>265</v>
      </c>
      <c r="P17" s="4" t="s">
        <v>266</v>
      </c>
      <c r="Q17" s="4" t="s">
        <v>267</v>
      </c>
      <c r="R17" s="4" t="s">
        <v>268</v>
      </c>
      <c r="S17" s="7" t="s">
        <v>34</v>
      </c>
      <c r="T17" s="4" t="s">
        <v>134</v>
      </c>
    </row>
    <row r="18" spans="1:20" ht="28">
      <c r="A18" s="5">
        <v>14</v>
      </c>
      <c r="B18" s="4" t="s">
        <v>269</v>
      </c>
      <c r="C18" s="5" t="s">
        <v>104</v>
      </c>
      <c r="D18" s="5" t="s">
        <v>136</v>
      </c>
      <c r="E18" s="4" t="s">
        <v>225</v>
      </c>
      <c r="F18" s="4" t="s">
        <v>270</v>
      </c>
      <c r="G18" s="5" t="s">
        <v>138</v>
      </c>
      <c r="H18" s="5" t="s">
        <v>139</v>
      </c>
      <c r="I18" s="4" t="s">
        <v>271</v>
      </c>
      <c r="J18" s="4" t="s">
        <v>272</v>
      </c>
      <c r="K18" s="4" t="s">
        <v>142</v>
      </c>
      <c r="L18" s="4" t="s">
        <v>273</v>
      </c>
      <c r="M18" s="4" t="s">
        <v>263</v>
      </c>
      <c r="N18" s="4" t="s">
        <v>274</v>
      </c>
      <c r="O18" s="4" t="s">
        <v>275</v>
      </c>
      <c r="P18" s="4" t="s">
        <v>266</v>
      </c>
      <c r="Q18" s="4" t="s">
        <v>276</v>
      </c>
      <c r="R18" s="4" t="s">
        <v>277</v>
      </c>
      <c r="S18" s="7" t="s">
        <v>34</v>
      </c>
      <c r="T18" s="4" t="s">
        <v>134</v>
      </c>
    </row>
    <row r="19" spans="1:20" ht="42">
      <c r="A19" s="5">
        <v>15</v>
      </c>
      <c r="B19" s="4" t="s">
        <v>278</v>
      </c>
      <c r="C19" s="5" t="s">
        <v>104</v>
      </c>
      <c r="D19" s="5" t="s">
        <v>136</v>
      </c>
      <c r="E19" s="4" t="s">
        <v>225</v>
      </c>
      <c r="F19" s="4" t="s">
        <v>279</v>
      </c>
      <c r="G19" s="5" t="s">
        <v>138</v>
      </c>
      <c r="H19" s="5" t="s">
        <v>139</v>
      </c>
      <c r="I19" s="4" t="s">
        <v>280</v>
      </c>
      <c r="J19" s="4" t="s">
        <v>281</v>
      </c>
      <c r="K19" s="4" t="s">
        <v>154</v>
      </c>
      <c r="L19" s="4" t="s">
        <v>282</v>
      </c>
      <c r="M19" s="4" t="s">
        <v>263</v>
      </c>
      <c r="N19" s="4" t="s">
        <v>283</v>
      </c>
      <c r="O19" s="4" t="s">
        <v>275</v>
      </c>
      <c r="P19" s="4" t="s">
        <v>284</v>
      </c>
      <c r="Q19" s="4" t="s">
        <v>285</v>
      </c>
      <c r="R19" s="4" t="s">
        <v>286</v>
      </c>
      <c r="S19" s="7" t="s">
        <v>38</v>
      </c>
      <c r="T19" s="4" t="s">
        <v>211</v>
      </c>
    </row>
    <row r="20" spans="1:20" ht="28">
      <c r="A20" s="5">
        <v>16</v>
      </c>
      <c r="B20" s="4" t="s">
        <v>287</v>
      </c>
      <c r="C20" s="5" t="s">
        <v>104</v>
      </c>
      <c r="D20" s="5" t="s">
        <v>105</v>
      </c>
      <c r="E20" s="4" t="s">
        <v>288</v>
      </c>
      <c r="F20" s="4" t="s">
        <v>289</v>
      </c>
      <c r="G20" s="5" t="s">
        <v>108</v>
      </c>
      <c r="H20" s="5" t="s">
        <v>227</v>
      </c>
      <c r="I20" s="4" t="s">
        <v>290</v>
      </c>
      <c r="J20" s="4" t="s">
        <v>291</v>
      </c>
      <c r="K20" s="4" t="s">
        <v>292</v>
      </c>
      <c r="L20" s="4" t="s">
        <v>293</v>
      </c>
      <c r="M20" s="4" t="s">
        <v>294</v>
      </c>
      <c r="N20" s="4" t="s">
        <v>295</v>
      </c>
      <c r="O20" s="4" t="s">
        <v>296</v>
      </c>
      <c r="P20" s="4" t="s">
        <v>297</v>
      </c>
      <c r="Q20" s="4" t="s">
        <v>298</v>
      </c>
      <c r="R20" s="4" t="s">
        <v>299</v>
      </c>
      <c r="S20" s="7" t="s">
        <v>34</v>
      </c>
      <c r="T20" s="4" t="s">
        <v>134</v>
      </c>
    </row>
    <row r="21" spans="1:20" ht="42">
      <c r="A21" s="5">
        <v>17</v>
      </c>
      <c r="B21" s="4" t="s">
        <v>300</v>
      </c>
      <c r="C21" s="5" t="s">
        <v>104</v>
      </c>
      <c r="D21" s="5" t="s">
        <v>105</v>
      </c>
      <c r="E21" s="4" t="s">
        <v>288</v>
      </c>
      <c r="F21" s="4" t="s">
        <v>301</v>
      </c>
      <c r="G21" s="5" t="s">
        <v>108</v>
      </c>
      <c r="H21" s="5" t="s">
        <v>227</v>
      </c>
      <c r="I21" s="4" t="s">
        <v>302</v>
      </c>
      <c r="J21" s="4" t="s">
        <v>303</v>
      </c>
      <c r="K21" s="4" t="s">
        <v>304</v>
      </c>
      <c r="L21" s="4" t="s">
        <v>305</v>
      </c>
      <c r="M21" s="4" t="s">
        <v>306</v>
      </c>
      <c r="N21" s="4" t="s">
        <v>295</v>
      </c>
      <c r="O21" s="4" t="s">
        <v>307</v>
      </c>
      <c r="P21" s="4" t="s">
        <v>308</v>
      </c>
      <c r="Q21" s="4" t="s">
        <v>309</v>
      </c>
      <c r="R21" s="4" t="s">
        <v>310</v>
      </c>
      <c r="S21" s="7" t="s">
        <v>34</v>
      </c>
      <c r="T21" s="4" t="s">
        <v>134</v>
      </c>
    </row>
    <row r="22" spans="1:20" ht="42">
      <c r="A22" s="5">
        <v>18</v>
      </c>
      <c r="B22" s="4" t="s">
        <v>311</v>
      </c>
      <c r="C22" s="5" t="s">
        <v>312</v>
      </c>
      <c r="D22" s="5" t="s">
        <v>313</v>
      </c>
      <c r="E22" s="4" t="s">
        <v>288</v>
      </c>
      <c r="F22" s="4" t="s">
        <v>314</v>
      </c>
      <c r="G22" s="5" t="s">
        <v>108</v>
      </c>
      <c r="H22" s="5" t="s">
        <v>227</v>
      </c>
      <c r="I22" s="4" t="s">
        <v>315</v>
      </c>
      <c r="J22" s="4" t="s">
        <v>316</v>
      </c>
      <c r="K22" s="4" t="s">
        <v>317</v>
      </c>
      <c r="L22" s="4" t="s">
        <v>318</v>
      </c>
      <c r="M22" s="4" t="s">
        <v>319</v>
      </c>
      <c r="N22" s="4" t="s">
        <v>295</v>
      </c>
      <c r="O22" s="4" t="s">
        <v>320</v>
      </c>
      <c r="P22" s="4" t="s">
        <v>321</v>
      </c>
      <c r="Q22" s="4" t="s">
        <v>322</v>
      </c>
      <c r="R22" s="4" t="s">
        <v>323</v>
      </c>
      <c r="S22" s="7" t="s">
        <v>38</v>
      </c>
      <c r="T22" s="4" t="s">
        <v>211</v>
      </c>
    </row>
    <row r="23" spans="1:20" ht="28">
      <c r="A23" s="5">
        <v>19</v>
      </c>
      <c r="B23" s="4" t="s">
        <v>324</v>
      </c>
      <c r="C23" s="5" t="s">
        <v>104</v>
      </c>
      <c r="D23" s="5" t="s">
        <v>105</v>
      </c>
      <c r="E23" s="4" t="s">
        <v>288</v>
      </c>
      <c r="F23" s="4" t="s">
        <v>325</v>
      </c>
      <c r="G23" s="5" t="s">
        <v>108</v>
      </c>
      <c r="H23" s="5" t="s">
        <v>214</v>
      </c>
      <c r="I23" s="4" t="s">
        <v>326</v>
      </c>
      <c r="J23" s="4" t="s">
        <v>327</v>
      </c>
      <c r="K23" s="4" t="s">
        <v>217</v>
      </c>
      <c r="L23" s="4" t="s">
        <v>328</v>
      </c>
      <c r="M23" s="4" t="s">
        <v>329</v>
      </c>
      <c r="N23" s="4" t="s">
        <v>330</v>
      </c>
      <c r="O23" s="4" t="s">
        <v>331</v>
      </c>
      <c r="P23" s="4" t="s">
        <v>332</v>
      </c>
      <c r="Q23" s="4" t="s">
        <v>333</v>
      </c>
      <c r="R23" s="4" t="s">
        <v>334</v>
      </c>
      <c r="S23" s="7" t="s">
        <v>34</v>
      </c>
      <c r="T23" s="4" t="s">
        <v>134</v>
      </c>
    </row>
    <row r="24" spans="1:20" ht="42">
      <c r="A24" s="5">
        <v>20</v>
      </c>
      <c r="B24" s="4" t="s">
        <v>335</v>
      </c>
      <c r="C24" s="5" t="s">
        <v>104</v>
      </c>
      <c r="D24" s="5" t="s">
        <v>105</v>
      </c>
      <c r="E24" s="4" t="s">
        <v>288</v>
      </c>
      <c r="F24" s="4" t="s">
        <v>336</v>
      </c>
      <c r="G24" s="5" t="s">
        <v>108</v>
      </c>
      <c r="H24" s="5" t="s">
        <v>337</v>
      </c>
      <c r="I24" s="4" t="s">
        <v>338</v>
      </c>
      <c r="J24" s="4" t="s">
        <v>339</v>
      </c>
      <c r="K24" s="4" t="s">
        <v>217</v>
      </c>
      <c r="L24" s="4" t="s">
        <v>340</v>
      </c>
      <c r="M24" s="4" t="s">
        <v>341</v>
      </c>
      <c r="N24" s="4" t="s">
        <v>342</v>
      </c>
      <c r="O24" s="4" t="s">
        <v>343</v>
      </c>
      <c r="P24" s="4" t="s">
        <v>344</v>
      </c>
      <c r="Q24" s="4" t="s">
        <v>345</v>
      </c>
      <c r="R24" s="4" t="s">
        <v>346</v>
      </c>
      <c r="S24" s="7" t="s">
        <v>34</v>
      </c>
      <c r="T24" s="4" t="s">
        <v>134</v>
      </c>
    </row>
    <row r="25" spans="1:20" ht="28">
      <c r="A25" s="5">
        <v>21</v>
      </c>
      <c r="B25" s="4" t="s">
        <v>347</v>
      </c>
      <c r="C25" s="5" t="s">
        <v>104</v>
      </c>
      <c r="D25" s="5" t="s">
        <v>105</v>
      </c>
      <c r="E25" s="4" t="s">
        <v>288</v>
      </c>
      <c r="F25" s="4" t="s">
        <v>348</v>
      </c>
      <c r="G25" s="5" t="s">
        <v>108</v>
      </c>
      <c r="H25" s="5" t="s">
        <v>349</v>
      </c>
      <c r="I25" s="4" t="s">
        <v>350</v>
      </c>
      <c r="J25" s="4" t="s">
        <v>351</v>
      </c>
      <c r="K25" s="4" t="s">
        <v>352</v>
      </c>
      <c r="L25" s="4" t="s">
        <v>353</v>
      </c>
      <c r="M25" s="4" t="s">
        <v>354</v>
      </c>
      <c r="N25" s="4" t="s">
        <v>355</v>
      </c>
      <c r="O25" s="4" t="s">
        <v>356</v>
      </c>
      <c r="P25" s="4" t="s">
        <v>357</v>
      </c>
      <c r="Q25" s="4" t="s">
        <v>358</v>
      </c>
      <c r="R25" s="4" t="s">
        <v>359</v>
      </c>
      <c r="S25" s="7" t="s">
        <v>34</v>
      </c>
      <c r="T25" s="4" t="s">
        <v>134</v>
      </c>
    </row>
    <row r="26" spans="1:20" ht="28">
      <c r="A26" s="5">
        <v>22</v>
      </c>
      <c r="B26" s="4" t="s">
        <v>360</v>
      </c>
      <c r="C26" s="5" t="s">
        <v>104</v>
      </c>
      <c r="D26" s="5" t="s">
        <v>136</v>
      </c>
      <c r="E26" s="4" t="s">
        <v>288</v>
      </c>
      <c r="F26" s="4" t="s">
        <v>361</v>
      </c>
      <c r="G26" s="5" t="s">
        <v>138</v>
      </c>
      <c r="H26" s="5" t="s">
        <v>139</v>
      </c>
      <c r="I26" s="4" t="s">
        <v>362</v>
      </c>
      <c r="J26" s="4" t="s">
        <v>363</v>
      </c>
      <c r="K26" s="4" t="s">
        <v>154</v>
      </c>
      <c r="L26" s="4" t="s">
        <v>364</v>
      </c>
      <c r="M26" s="4" t="s">
        <v>354</v>
      </c>
      <c r="N26" s="4" t="s">
        <v>365</v>
      </c>
      <c r="O26" s="4" t="s">
        <v>366</v>
      </c>
      <c r="P26" s="4" t="s">
        <v>367</v>
      </c>
      <c r="Q26" s="4" t="s">
        <v>368</v>
      </c>
      <c r="R26" s="4" t="s">
        <v>369</v>
      </c>
      <c r="S26" s="7" t="s">
        <v>34</v>
      </c>
      <c r="T26" s="4" t="s">
        <v>134</v>
      </c>
    </row>
    <row r="27" spans="1:20" ht="56">
      <c r="A27" s="5">
        <v>23</v>
      </c>
      <c r="B27" s="4" t="s">
        <v>370</v>
      </c>
      <c r="C27" s="5" t="s">
        <v>104</v>
      </c>
      <c r="D27" s="5" t="s">
        <v>105</v>
      </c>
      <c r="E27" s="4" t="s">
        <v>288</v>
      </c>
      <c r="F27" s="4" t="s">
        <v>371</v>
      </c>
      <c r="G27" s="5" t="s">
        <v>108</v>
      </c>
      <c r="H27" s="5" t="s">
        <v>372</v>
      </c>
      <c r="I27" s="4" t="s">
        <v>373</v>
      </c>
      <c r="J27" s="4" t="s">
        <v>374</v>
      </c>
      <c r="K27" s="4" t="s">
        <v>375</v>
      </c>
      <c r="L27" s="4" t="s">
        <v>376</v>
      </c>
      <c r="M27" s="4" t="s">
        <v>377</v>
      </c>
      <c r="N27" s="4" t="s">
        <v>378</v>
      </c>
      <c r="O27" s="4" t="s">
        <v>379</v>
      </c>
      <c r="P27" s="4" t="s">
        <v>380</v>
      </c>
      <c r="Q27" s="4" t="s">
        <v>381</v>
      </c>
      <c r="R27" s="4" t="s">
        <v>382</v>
      </c>
      <c r="S27" s="7" t="s">
        <v>34</v>
      </c>
      <c r="T27" s="4" t="s">
        <v>134</v>
      </c>
    </row>
    <row r="28" spans="1:20" ht="42">
      <c r="A28" s="5">
        <v>24</v>
      </c>
      <c r="B28" s="4" t="s">
        <v>383</v>
      </c>
      <c r="C28" s="5" t="s">
        <v>199</v>
      </c>
      <c r="D28" s="5" t="s">
        <v>136</v>
      </c>
      <c r="E28" s="4" t="s">
        <v>288</v>
      </c>
      <c r="F28" s="4" t="s">
        <v>384</v>
      </c>
      <c r="G28" s="5" t="s">
        <v>108</v>
      </c>
      <c r="H28" s="5" t="s">
        <v>372</v>
      </c>
      <c r="I28" s="4" t="s">
        <v>385</v>
      </c>
      <c r="J28" s="4" t="s">
        <v>386</v>
      </c>
      <c r="K28" s="4" t="s">
        <v>387</v>
      </c>
      <c r="L28" s="4" t="s">
        <v>388</v>
      </c>
      <c r="M28" s="4" t="s">
        <v>389</v>
      </c>
      <c r="N28" s="4" t="s">
        <v>378</v>
      </c>
      <c r="O28" s="4" t="s">
        <v>390</v>
      </c>
      <c r="P28" s="4" t="s">
        <v>391</v>
      </c>
      <c r="Q28" s="4" t="s">
        <v>392</v>
      </c>
      <c r="R28" s="4" t="s">
        <v>393</v>
      </c>
      <c r="S28" s="7" t="s">
        <v>38</v>
      </c>
      <c r="T28" s="4" t="s">
        <v>211</v>
      </c>
    </row>
    <row r="29" spans="1:20" ht="28">
      <c r="A29" s="5">
        <v>25</v>
      </c>
      <c r="B29" s="4" t="s">
        <v>394</v>
      </c>
      <c r="C29" s="5" t="s">
        <v>104</v>
      </c>
      <c r="D29" s="5" t="s">
        <v>105</v>
      </c>
      <c r="E29" s="4" t="s">
        <v>288</v>
      </c>
      <c r="F29" s="4" t="s">
        <v>395</v>
      </c>
      <c r="G29" s="5" t="s">
        <v>108</v>
      </c>
      <c r="H29" s="5" t="s">
        <v>372</v>
      </c>
      <c r="I29" s="4" t="s">
        <v>396</v>
      </c>
      <c r="J29" s="4" t="s">
        <v>397</v>
      </c>
      <c r="K29" s="4" t="s">
        <v>398</v>
      </c>
      <c r="L29" s="4" t="s">
        <v>399</v>
      </c>
      <c r="M29" s="4" t="s">
        <v>400</v>
      </c>
      <c r="N29" s="4" t="s">
        <v>378</v>
      </c>
      <c r="O29" s="4" t="s">
        <v>401</v>
      </c>
      <c r="P29" s="4" t="s">
        <v>402</v>
      </c>
      <c r="Q29" s="4" t="s">
        <v>403</v>
      </c>
      <c r="R29" s="4" t="s">
        <v>404</v>
      </c>
      <c r="S29" s="7" t="s">
        <v>34</v>
      </c>
      <c r="T29" s="4" t="s">
        <v>134</v>
      </c>
    </row>
    <row r="30" spans="1:20" ht="42">
      <c r="A30" s="5">
        <v>26</v>
      </c>
      <c r="B30" s="4" t="s">
        <v>405</v>
      </c>
      <c r="C30" s="5" t="s">
        <v>104</v>
      </c>
      <c r="D30" s="5" t="s">
        <v>105</v>
      </c>
      <c r="E30" s="4" t="s">
        <v>288</v>
      </c>
      <c r="F30" s="4" t="s">
        <v>406</v>
      </c>
      <c r="G30" s="5" t="s">
        <v>108</v>
      </c>
      <c r="H30" s="5" t="s">
        <v>214</v>
      </c>
      <c r="I30" s="4" t="s">
        <v>407</v>
      </c>
      <c r="J30" s="4" t="s">
        <v>408</v>
      </c>
      <c r="K30" s="4" t="s">
        <v>217</v>
      </c>
      <c r="L30" s="4" t="s">
        <v>409</v>
      </c>
      <c r="M30" s="4" t="s">
        <v>410</v>
      </c>
      <c r="N30" s="4" t="s">
        <v>411</v>
      </c>
      <c r="O30" s="4" t="s">
        <v>412</v>
      </c>
      <c r="P30" s="4" t="s">
        <v>413</v>
      </c>
      <c r="Q30" s="4" t="s">
        <v>414</v>
      </c>
      <c r="R30" s="4" t="s">
        <v>415</v>
      </c>
      <c r="S30" s="7" t="s">
        <v>34</v>
      </c>
      <c r="T30" s="4" t="s">
        <v>134</v>
      </c>
    </row>
    <row r="31" spans="1:20" ht="42">
      <c r="A31" s="5">
        <v>27</v>
      </c>
      <c r="B31" s="4" t="s">
        <v>815</v>
      </c>
      <c r="C31" s="5" t="s">
        <v>104</v>
      </c>
      <c r="D31" s="5" t="s">
        <v>105</v>
      </c>
      <c r="E31" s="4" t="s">
        <v>288</v>
      </c>
      <c r="F31" s="4" t="s">
        <v>416</v>
      </c>
      <c r="G31" s="5" t="s">
        <v>108</v>
      </c>
      <c r="H31" s="5" t="s">
        <v>214</v>
      </c>
      <c r="I31" s="4" t="s">
        <v>215</v>
      </c>
      <c r="J31" s="4" t="s">
        <v>417</v>
      </c>
      <c r="K31" s="4" t="s">
        <v>217</v>
      </c>
      <c r="L31" s="4" t="s">
        <v>418</v>
      </c>
      <c r="M31" s="4" t="s">
        <v>419</v>
      </c>
      <c r="N31" s="4" t="s">
        <v>420</v>
      </c>
      <c r="O31" s="4" t="s">
        <v>421</v>
      </c>
      <c r="P31" s="4" t="s">
        <v>422</v>
      </c>
      <c r="Q31" s="4" t="s">
        <v>423</v>
      </c>
      <c r="R31" s="4" t="s">
        <v>424</v>
      </c>
      <c r="S31" s="7" t="s">
        <v>34</v>
      </c>
      <c r="T31" s="4" t="s">
        <v>134</v>
      </c>
    </row>
    <row r="32" spans="1:20" ht="28">
      <c r="A32" s="5">
        <v>28</v>
      </c>
      <c r="B32" s="4" t="s">
        <v>425</v>
      </c>
      <c r="C32" s="5" t="s">
        <v>104</v>
      </c>
      <c r="D32" s="5" t="s">
        <v>105</v>
      </c>
      <c r="E32" s="4" t="s">
        <v>288</v>
      </c>
      <c r="F32" s="4" t="s">
        <v>426</v>
      </c>
      <c r="G32" s="5" t="s">
        <v>108</v>
      </c>
      <c r="H32" s="5" t="s">
        <v>427</v>
      </c>
      <c r="I32" s="4" t="s">
        <v>428</v>
      </c>
      <c r="J32" s="4" t="s">
        <v>429</v>
      </c>
      <c r="K32" s="4" t="s">
        <v>430</v>
      </c>
      <c r="L32" s="4" t="s">
        <v>431</v>
      </c>
      <c r="M32" s="4" t="s">
        <v>432</v>
      </c>
      <c r="N32" s="4" t="s">
        <v>433</v>
      </c>
      <c r="O32" s="4" t="s">
        <v>434</v>
      </c>
      <c r="P32" s="4" t="s">
        <v>435</v>
      </c>
      <c r="Q32" s="4" t="s">
        <v>436</v>
      </c>
      <c r="R32" s="4" t="s">
        <v>437</v>
      </c>
      <c r="S32" s="7" t="s">
        <v>34</v>
      </c>
      <c r="T32" s="4" t="s">
        <v>134</v>
      </c>
    </row>
    <row r="33" spans="1:20" ht="28">
      <c r="A33" s="5">
        <v>29</v>
      </c>
      <c r="B33" s="4" t="s">
        <v>438</v>
      </c>
      <c r="C33" s="5" t="s">
        <v>199</v>
      </c>
      <c r="D33" s="5" t="s">
        <v>136</v>
      </c>
      <c r="E33" s="4" t="s">
        <v>288</v>
      </c>
      <c r="F33" s="4" t="s">
        <v>439</v>
      </c>
      <c r="G33" s="5" t="s">
        <v>108</v>
      </c>
      <c r="H33" s="5" t="s">
        <v>427</v>
      </c>
      <c r="I33" s="4" t="s">
        <v>440</v>
      </c>
      <c r="J33" s="4" t="s">
        <v>441</v>
      </c>
      <c r="K33" s="4" t="s">
        <v>442</v>
      </c>
      <c r="L33" s="4" t="s">
        <v>443</v>
      </c>
      <c r="M33" s="4" t="s">
        <v>444</v>
      </c>
      <c r="N33" s="4" t="s">
        <v>445</v>
      </c>
      <c r="O33" s="4" t="s">
        <v>446</v>
      </c>
      <c r="P33" s="4" t="s">
        <v>447</v>
      </c>
      <c r="Q33" s="4" t="s">
        <v>448</v>
      </c>
      <c r="R33" s="4" t="s">
        <v>449</v>
      </c>
      <c r="S33" s="7" t="s">
        <v>36</v>
      </c>
      <c r="T33" s="4" t="s">
        <v>120</v>
      </c>
    </row>
    <row r="34" spans="1:20" ht="28">
      <c r="A34" s="5">
        <v>30</v>
      </c>
      <c r="B34" s="4" t="s">
        <v>450</v>
      </c>
      <c r="C34" s="5" t="s">
        <v>104</v>
      </c>
      <c r="D34" s="5" t="s">
        <v>105</v>
      </c>
      <c r="E34" s="4" t="s">
        <v>288</v>
      </c>
      <c r="F34" s="4" t="s">
        <v>451</v>
      </c>
      <c r="G34" s="5" t="s">
        <v>138</v>
      </c>
      <c r="H34" s="5" t="s">
        <v>452</v>
      </c>
      <c r="I34" s="4" t="s">
        <v>453</v>
      </c>
      <c r="J34" s="4" t="s">
        <v>454</v>
      </c>
      <c r="K34" s="4" t="s">
        <v>455</v>
      </c>
      <c r="L34" s="4" t="s">
        <v>456</v>
      </c>
      <c r="M34" s="4" t="s">
        <v>457</v>
      </c>
      <c r="N34" s="4" t="s">
        <v>458</v>
      </c>
      <c r="O34" s="4" t="s">
        <v>459</v>
      </c>
      <c r="P34" s="4" t="s">
        <v>460</v>
      </c>
      <c r="Q34" s="4" t="s">
        <v>461</v>
      </c>
      <c r="R34" s="4" t="s">
        <v>462</v>
      </c>
      <c r="S34" s="7" t="s">
        <v>34</v>
      </c>
      <c r="T34" s="4" t="s">
        <v>134</v>
      </c>
    </row>
    <row r="35" spans="1:20" ht="42">
      <c r="A35" s="5">
        <v>31</v>
      </c>
      <c r="B35" s="4" t="s">
        <v>463</v>
      </c>
      <c r="C35" s="5" t="s">
        <v>104</v>
      </c>
      <c r="D35" s="5" t="s">
        <v>105</v>
      </c>
      <c r="E35" s="4" t="s">
        <v>288</v>
      </c>
      <c r="F35" s="4" t="s">
        <v>464</v>
      </c>
      <c r="G35" s="5" t="s">
        <v>138</v>
      </c>
      <c r="H35" s="5" t="s">
        <v>465</v>
      </c>
      <c r="I35" s="4" t="s">
        <v>466</v>
      </c>
      <c r="J35" s="4" t="s">
        <v>467</v>
      </c>
      <c r="K35" s="4" t="s">
        <v>455</v>
      </c>
      <c r="L35" s="4" t="s">
        <v>468</v>
      </c>
      <c r="M35" s="4" t="s">
        <v>469</v>
      </c>
      <c r="N35" s="4" t="s">
        <v>470</v>
      </c>
      <c r="O35" s="4" t="s">
        <v>471</v>
      </c>
      <c r="P35" s="4" t="s">
        <v>472</v>
      </c>
      <c r="Q35" s="4" t="s">
        <v>473</v>
      </c>
      <c r="R35" s="4" t="s">
        <v>474</v>
      </c>
      <c r="S35" s="7" t="s">
        <v>38</v>
      </c>
      <c r="T35" s="4" t="s">
        <v>211</v>
      </c>
    </row>
    <row r="36" spans="1:20" ht="28">
      <c r="A36" s="5">
        <v>32</v>
      </c>
      <c r="B36" s="4" t="s">
        <v>475</v>
      </c>
      <c r="C36" s="5" t="s">
        <v>104</v>
      </c>
      <c r="D36" s="5" t="s">
        <v>136</v>
      </c>
      <c r="E36" s="4" t="s">
        <v>288</v>
      </c>
      <c r="F36" s="4" t="s">
        <v>476</v>
      </c>
      <c r="G36" s="5" t="s">
        <v>138</v>
      </c>
      <c r="H36" s="5" t="s">
        <v>139</v>
      </c>
      <c r="I36" s="4" t="s">
        <v>477</v>
      </c>
      <c r="J36" s="4" t="s">
        <v>478</v>
      </c>
      <c r="K36" s="4" t="s">
        <v>154</v>
      </c>
      <c r="L36" s="4" t="s">
        <v>479</v>
      </c>
      <c r="M36" s="4" t="s">
        <v>432</v>
      </c>
      <c r="N36" s="4" t="s">
        <v>480</v>
      </c>
      <c r="O36" s="4" t="s">
        <v>481</v>
      </c>
      <c r="P36" s="4" t="s">
        <v>482</v>
      </c>
      <c r="Q36" s="4" t="s">
        <v>483</v>
      </c>
      <c r="R36" s="4" t="s">
        <v>484</v>
      </c>
      <c r="S36" s="7" t="s">
        <v>34</v>
      </c>
      <c r="T36" s="4" t="s">
        <v>134</v>
      </c>
    </row>
    <row r="37" spans="1:20" ht="42">
      <c r="A37" s="5">
        <v>33</v>
      </c>
      <c r="B37" s="4" t="s">
        <v>485</v>
      </c>
      <c r="C37" s="5" t="s">
        <v>104</v>
      </c>
      <c r="D37" s="5" t="s">
        <v>136</v>
      </c>
      <c r="E37" s="4" t="s">
        <v>288</v>
      </c>
      <c r="F37" s="4" t="s">
        <v>486</v>
      </c>
      <c r="G37" s="5" t="s">
        <v>138</v>
      </c>
      <c r="H37" s="5" t="s">
        <v>487</v>
      </c>
      <c r="I37" s="4" t="s">
        <v>488</v>
      </c>
      <c r="J37" s="4" t="s">
        <v>489</v>
      </c>
      <c r="K37" s="4" t="s">
        <v>154</v>
      </c>
      <c r="L37" s="4" t="s">
        <v>490</v>
      </c>
      <c r="M37" s="4" t="s">
        <v>491</v>
      </c>
      <c r="N37" s="4" t="s">
        <v>492</v>
      </c>
      <c r="O37" s="4" t="s">
        <v>493</v>
      </c>
      <c r="P37" s="4" t="s">
        <v>494</v>
      </c>
      <c r="Q37" s="4" t="s">
        <v>495</v>
      </c>
      <c r="R37" s="4" t="s">
        <v>496</v>
      </c>
      <c r="S37" s="7" t="s">
        <v>36</v>
      </c>
      <c r="T37" s="4" t="s">
        <v>120</v>
      </c>
    </row>
    <row r="38" spans="1:20" ht="28">
      <c r="A38" s="5">
        <v>34</v>
      </c>
      <c r="B38" s="4" t="s">
        <v>497</v>
      </c>
      <c r="C38" s="5" t="s">
        <v>104</v>
      </c>
      <c r="D38" s="5" t="s">
        <v>105</v>
      </c>
      <c r="E38" s="4" t="s">
        <v>498</v>
      </c>
      <c r="F38" s="4" t="s">
        <v>499</v>
      </c>
      <c r="G38" s="5" t="s">
        <v>108</v>
      </c>
      <c r="H38" s="5" t="s">
        <v>227</v>
      </c>
      <c r="I38" s="4" t="s">
        <v>290</v>
      </c>
      <c r="J38" s="4" t="s">
        <v>291</v>
      </c>
      <c r="K38" s="4" t="s">
        <v>292</v>
      </c>
      <c r="L38" s="4" t="s">
        <v>293</v>
      </c>
      <c r="M38" s="4" t="s">
        <v>500</v>
      </c>
      <c r="N38" s="4" t="s">
        <v>501</v>
      </c>
      <c r="O38" s="4" t="s">
        <v>296</v>
      </c>
      <c r="P38" s="4" t="s">
        <v>297</v>
      </c>
      <c r="Q38" s="4" t="s">
        <v>298</v>
      </c>
      <c r="R38" s="4" t="s">
        <v>299</v>
      </c>
      <c r="S38" s="7" t="s">
        <v>34</v>
      </c>
      <c r="T38" s="4" t="s">
        <v>134</v>
      </c>
    </row>
    <row r="39" spans="1:20" ht="42">
      <c r="A39" s="5">
        <v>35</v>
      </c>
      <c r="B39" s="4" t="s">
        <v>502</v>
      </c>
      <c r="C39" s="5" t="s">
        <v>104</v>
      </c>
      <c r="D39" s="5" t="s">
        <v>105</v>
      </c>
      <c r="E39" s="4" t="s">
        <v>498</v>
      </c>
      <c r="F39" s="4" t="s">
        <v>503</v>
      </c>
      <c r="G39" s="5" t="s">
        <v>108</v>
      </c>
      <c r="H39" s="5" t="s">
        <v>227</v>
      </c>
      <c r="I39" s="4" t="s">
        <v>302</v>
      </c>
      <c r="J39" s="4" t="s">
        <v>303</v>
      </c>
      <c r="K39" s="4" t="s">
        <v>304</v>
      </c>
      <c r="L39" s="4" t="s">
        <v>305</v>
      </c>
      <c r="M39" s="4" t="s">
        <v>504</v>
      </c>
      <c r="N39" s="4" t="s">
        <v>501</v>
      </c>
      <c r="O39" s="4" t="s">
        <v>307</v>
      </c>
      <c r="P39" s="4" t="s">
        <v>308</v>
      </c>
      <c r="Q39" s="4" t="s">
        <v>309</v>
      </c>
      <c r="R39" s="4" t="s">
        <v>310</v>
      </c>
      <c r="S39" s="7" t="s">
        <v>34</v>
      </c>
      <c r="T39" s="4" t="s">
        <v>134</v>
      </c>
    </row>
    <row r="40" spans="1:20" ht="42">
      <c r="A40" s="5">
        <v>36</v>
      </c>
      <c r="B40" s="4" t="s">
        <v>505</v>
      </c>
      <c r="C40" s="5" t="s">
        <v>312</v>
      </c>
      <c r="D40" s="5" t="s">
        <v>313</v>
      </c>
      <c r="E40" s="4" t="s">
        <v>498</v>
      </c>
      <c r="F40" s="4" t="s">
        <v>506</v>
      </c>
      <c r="G40" s="5" t="s">
        <v>108</v>
      </c>
      <c r="H40" s="5" t="s">
        <v>227</v>
      </c>
      <c r="I40" s="4" t="s">
        <v>315</v>
      </c>
      <c r="J40" s="4" t="s">
        <v>316</v>
      </c>
      <c r="K40" s="4" t="s">
        <v>317</v>
      </c>
      <c r="L40" s="4" t="s">
        <v>318</v>
      </c>
      <c r="M40" s="4" t="s">
        <v>507</v>
      </c>
      <c r="N40" s="4" t="s">
        <v>501</v>
      </c>
      <c r="O40" s="4" t="s">
        <v>320</v>
      </c>
      <c r="P40" s="4" t="s">
        <v>321</v>
      </c>
      <c r="Q40" s="4" t="s">
        <v>322</v>
      </c>
      <c r="R40" s="4" t="s">
        <v>323</v>
      </c>
      <c r="S40" s="7" t="s">
        <v>38</v>
      </c>
      <c r="T40" s="4" t="s">
        <v>211</v>
      </c>
    </row>
    <row r="41" spans="1:20" ht="28">
      <c r="A41" s="5">
        <v>37</v>
      </c>
      <c r="B41" s="4" t="s">
        <v>508</v>
      </c>
      <c r="C41" s="5" t="s">
        <v>104</v>
      </c>
      <c r="D41" s="5" t="s">
        <v>105</v>
      </c>
      <c r="E41" s="4" t="s">
        <v>498</v>
      </c>
      <c r="F41" s="4" t="s">
        <v>509</v>
      </c>
      <c r="G41" s="5" t="s">
        <v>108</v>
      </c>
      <c r="H41" s="5" t="s">
        <v>214</v>
      </c>
      <c r="I41" s="4" t="s">
        <v>326</v>
      </c>
      <c r="J41" s="4" t="s">
        <v>327</v>
      </c>
      <c r="K41" s="4" t="s">
        <v>217</v>
      </c>
      <c r="L41" s="4" t="s">
        <v>328</v>
      </c>
      <c r="M41" s="4" t="s">
        <v>510</v>
      </c>
      <c r="N41" s="4" t="s">
        <v>511</v>
      </c>
      <c r="O41" s="4" t="s">
        <v>331</v>
      </c>
      <c r="P41" s="4" t="s">
        <v>332</v>
      </c>
      <c r="Q41" s="4" t="s">
        <v>333</v>
      </c>
      <c r="R41" s="4" t="s">
        <v>334</v>
      </c>
      <c r="S41" s="7" t="s">
        <v>34</v>
      </c>
      <c r="T41" s="4" t="s">
        <v>134</v>
      </c>
    </row>
    <row r="42" spans="1:20" ht="42">
      <c r="A42" s="5">
        <v>38</v>
      </c>
      <c r="B42" s="4" t="s">
        <v>512</v>
      </c>
      <c r="C42" s="5" t="s">
        <v>104</v>
      </c>
      <c r="D42" s="5" t="s">
        <v>105</v>
      </c>
      <c r="E42" s="4" t="s">
        <v>498</v>
      </c>
      <c r="F42" s="4" t="s">
        <v>513</v>
      </c>
      <c r="G42" s="5" t="s">
        <v>108</v>
      </c>
      <c r="H42" s="5" t="s">
        <v>337</v>
      </c>
      <c r="I42" s="4" t="s">
        <v>338</v>
      </c>
      <c r="J42" s="4" t="s">
        <v>339</v>
      </c>
      <c r="K42" s="4" t="s">
        <v>217</v>
      </c>
      <c r="L42" s="4" t="s">
        <v>340</v>
      </c>
      <c r="M42" s="4" t="s">
        <v>514</v>
      </c>
      <c r="N42" s="4" t="s">
        <v>515</v>
      </c>
      <c r="O42" s="4" t="s">
        <v>343</v>
      </c>
      <c r="P42" s="4" t="s">
        <v>344</v>
      </c>
      <c r="Q42" s="4" t="s">
        <v>345</v>
      </c>
      <c r="R42" s="4" t="s">
        <v>346</v>
      </c>
      <c r="S42" s="7" t="s">
        <v>34</v>
      </c>
      <c r="T42" s="4" t="s">
        <v>134</v>
      </c>
    </row>
    <row r="43" spans="1:20" ht="28">
      <c r="A43" s="5">
        <v>39</v>
      </c>
      <c r="B43" s="4" t="s">
        <v>516</v>
      </c>
      <c r="C43" s="5" t="s">
        <v>104</v>
      </c>
      <c r="D43" s="5" t="s">
        <v>105</v>
      </c>
      <c r="E43" s="4" t="s">
        <v>498</v>
      </c>
      <c r="F43" s="4" t="s">
        <v>517</v>
      </c>
      <c r="G43" s="5" t="s">
        <v>108</v>
      </c>
      <c r="H43" s="5" t="s">
        <v>349</v>
      </c>
      <c r="I43" s="4" t="s">
        <v>350</v>
      </c>
      <c r="J43" s="4" t="s">
        <v>351</v>
      </c>
      <c r="K43" s="4" t="s">
        <v>352</v>
      </c>
      <c r="L43" s="4" t="s">
        <v>353</v>
      </c>
      <c r="M43" s="4" t="s">
        <v>518</v>
      </c>
      <c r="N43" s="4" t="s">
        <v>519</v>
      </c>
      <c r="O43" s="4" t="s">
        <v>356</v>
      </c>
      <c r="P43" s="4" t="s">
        <v>357</v>
      </c>
      <c r="Q43" s="4" t="s">
        <v>358</v>
      </c>
      <c r="R43" s="4" t="s">
        <v>359</v>
      </c>
      <c r="S43" s="7" t="s">
        <v>34</v>
      </c>
      <c r="T43" s="4" t="s">
        <v>134</v>
      </c>
    </row>
    <row r="44" spans="1:20" ht="28">
      <c r="A44" s="5">
        <v>40</v>
      </c>
      <c r="B44" s="4" t="s">
        <v>520</v>
      </c>
      <c r="C44" s="5" t="s">
        <v>104</v>
      </c>
      <c r="D44" s="5" t="s">
        <v>136</v>
      </c>
      <c r="E44" s="4" t="s">
        <v>498</v>
      </c>
      <c r="F44" s="4" t="s">
        <v>521</v>
      </c>
      <c r="G44" s="5" t="s">
        <v>138</v>
      </c>
      <c r="H44" s="5" t="s">
        <v>139</v>
      </c>
      <c r="I44" s="4" t="s">
        <v>362</v>
      </c>
      <c r="J44" s="4" t="s">
        <v>363</v>
      </c>
      <c r="K44" s="4" t="s">
        <v>154</v>
      </c>
      <c r="L44" s="4" t="s">
        <v>364</v>
      </c>
      <c r="M44" s="4" t="s">
        <v>518</v>
      </c>
      <c r="N44" s="4" t="s">
        <v>522</v>
      </c>
      <c r="O44" s="4" t="s">
        <v>366</v>
      </c>
      <c r="P44" s="4" t="s">
        <v>367</v>
      </c>
      <c r="Q44" s="4" t="s">
        <v>368</v>
      </c>
      <c r="R44" s="4" t="s">
        <v>369</v>
      </c>
      <c r="S44" s="7" t="s">
        <v>34</v>
      </c>
      <c r="T44" s="4" t="s">
        <v>134</v>
      </c>
    </row>
    <row r="45" spans="1:20" ht="56">
      <c r="A45" s="5">
        <v>41</v>
      </c>
      <c r="B45" s="4" t="s">
        <v>523</v>
      </c>
      <c r="C45" s="5" t="s">
        <v>104</v>
      </c>
      <c r="D45" s="5" t="s">
        <v>105</v>
      </c>
      <c r="E45" s="4" t="s">
        <v>498</v>
      </c>
      <c r="F45" s="4" t="s">
        <v>524</v>
      </c>
      <c r="G45" s="5" t="s">
        <v>108</v>
      </c>
      <c r="H45" s="5" t="s">
        <v>372</v>
      </c>
      <c r="I45" s="4" t="s">
        <v>373</v>
      </c>
      <c r="J45" s="4" t="s">
        <v>374</v>
      </c>
      <c r="K45" s="4" t="s">
        <v>375</v>
      </c>
      <c r="L45" s="4" t="s">
        <v>376</v>
      </c>
      <c r="M45" s="4" t="s">
        <v>525</v>
      </c>
      <c r="N45" s="4" t="s">
        <v>526</v>
      </c>
      <c r="O45" s="4" t="s">
        <v>379</v>
      </c>
      <c r="P45" s="4" t="s">
        <v>380</v>
      </c>
      <c r="Q45" s="4" t="s">
        <v>381</v>
      </c>
      <c r="R45" s="4" t="s">
        <v>382</v>
      </c>
      <c r="S45" s="7" t="s">
        <v>34</v>
      </c>
      <c r="T45" s="4" t="s">
        <v>134</v>
      </c>
    </row>
    <row r="46" spans="1:20" ht="42">
      <c r="A46" s="5">
        <v>42</v>
      </c>
      <c r="B46" s="4" t="s">
        <v>527</v>
      </c>
      <c r="C46" s="5" t="s">
        <v>199</v>
      </c>
      <c r="D46" s="5" t="s">
        <v>136</v>
      </c>
      <c r="E46" s="4" t="s">
        <v>498</v>
      </c>
      <c r="F46" s="4" t="s">
        <v>528</v>
      </c>
      <c r="G46" s="5" t="s">
        <v>108</v>
      </c>
      <c r="H46" s="5" t="s">
        <v>372</v>
      </c>
      <c r="I46" s="4" t="s">
        <v>385</v>
      </c>
      <c r="J46" s="4" t="s">
        <v>386</v>
      </c>
      <c r="K46" s="4" t="s">
        <v>387</v>
      </c>
      <c r="L46" s="4" t="s">
        <v>388</v>
      </c>
      <c r="M46" s="4" t="s">
        <v>529</v>
      </c>
      <c r="N46" s="4" t="s">
        <v>526</v>
      </c>
      <c r="O46" s="4" t="s">
        <v>390</v>
      </c>
      <c r="P46" s="4" t="s">
        <v>391</v>
      </c>
      <c r="Q46" s="4" t="s">
        <v>392</v>
      </c>
      <c r="R46" s="4" t="s">
        <v>393</v>
      </c>
      <c r="S46" s="7" t="s">
        <v>38</v>
      </c>
      <c r="T46" s="4" t="s">
        <v>211</v>
      </c>
    </row>
    <row r="47" spans="1:20" ht="28">
      <c r="A47" s="5">
        <v>43</v>
      </c>
      <c r="B47" s="4" t="s">
        <v>530</v>
      </c>
      <c r="C47" s="5" t="s">
        <v>104</v>
      </c>
      <c r="D47" s="5" t="s">
        <v>105</v>
      </c>
      <c r="E47" s="4" t="s">
        <v>498</v>
      </c>
      <c r="F47" s="4" t="s">
        <v>531</v>
      </c>
      <c r="G47" s="5" t="s">
        <v>108</v>
      </c>
      <c r="H47" s="5" t="s">
        <v>372</v>
      </c>
      <c r="I47" s="4" t="s">
        <v>396</v>
      </c>
      <c r="J47" s="4" t="s">
        <v>397</v>
      </c>
      <c r="K47" s="4" t="s">
        <v>398</v>
      </c>
      <c r="L47" s="4" t="s">
        <v>399</v>
      </c>
      <c r="M47" s="4" t="s">
        <v>532</v>
      </c>
      <c r="N47" s="4" t="s">
        <v>526</v>
      </c>
      <c r="O47" s="4" t="s">
        <v>401</v>
      </c>
      <c r="P47" s="4" t="s">
        <v>402</v>
      </c>
      <c r="Q47" s="4" t="s">
        <v>403</v>
      </c>
      <c r="R47" s="4" t="s">
        <v>404</v>
      </c>
      <c r="S47" s="7" t="s">
        <v>34</v>
      </c>
      <c r="T47" s="4" t="s">
        <v>134</v>
      </c>
    </row>
    <row r="48" spans="1:20" ht="42">
      <c r="A48" s="5">
        <v>44</v>
      </c>
      <c r="B48" s="4" t="s">
        <v>533</v>
      </c>
      <c r="C48" s="5" t="s">
        <v>104</v>
      </c>
      <c r="D48" s="5" t="s">
        <v>105</v>
      </c>
      <c r="E48" s="4" t="s">
        <v>498</v>
      </c>
      <c r="F48" s="4" t="s">
        <v>534</v>
      </c>
      <c r="G48" s="5" t="s">
        <v>108</v>
      </c>
      <c r="H48" s="5" t="s">
        <v>214</v>
      </c>
      <c r="I48" s="4" t="s">
        <v>407</v>
      </c>
      <c r="J48" s="4" t="s">
        <v>408</v>
      </c>
      <c r="K48" s="4" t="s">
        <v>217</v>
      </c>
      <c r="L48" s="4" t="s">
        <v>409</v>
      </c>
      <c r="M48" s="4" t="s">
        <v>535</v>
      </c>
      <c r="N48" s="4" t="s">
        <v>536</v>
      </c>
      <c r="O48" s="4" t="s">
        <v>412</v>
      </c>
      <c r="P48" s="4" t="s">
        <v>413</v>
      </c>
      <c r="Q48" s="4" t="s">
        <v>414</v>
      </c>
      <c r="R48" s="4" t="s">
        <v>415</v>
      </c>
      <c r="S48" s="7" t="s">
        <v>34</v>
      </c>
      <c r="T48" s="4" t="s">
        <v>134</v>
      </c>
    </row>
    <row r="49" spans="1:20" ht="42">
      <c r="A49" s="5">
        <v>45</v>
      </c>
      <c r="B49" s="4" t="s">
        <v>537</v>
      </c>
      <c r="C49" s="5" t="s">
        <v>104</v>
      </c>
      <c r="D49" s="5" t="s">
        <v>105</v>
      </c>
      <c r="E49" s="4" t="s">
        <v>498</v>
      </c>
      <c r="F49" s="4" t="s">
        <v>538</v>
      </c>
      <c r="G49" s="5" t="s">
        <v>108</v>
      </c>
      <c r="H49" s="5" t="s">
        <v>214</v>
      </c>
      <c r="I49" s="4" t="s">
        <v>215</v>
      </c>
      <c r="J49" s="4" t="s">
        <v>417</v>
      </c>
      <c r="K49" s="4" t="s">
        <v>217</v>
      </c>
      <c r="L49" s="4" t="s">
        <v>418</v>
      </c>
      <c r="M49" s="4" t="s">
        <v>539</v>
      </c>
      <c r="N49" s="4" t="s">
        <v>540</v>
      </c>
      <c r="O49" s="4" t="s">
        <v>421</v>
      </c>
      <c r="P49" s="4" t="s">
        <v>422</v>
      </c>
      <c r="Q49" s="4" t="s">
        <v>423</v>
      </c>
      <c r="R49" s="4" t="s">
        <v>424</v>
      </c>
      <c r="S49" s="7" t="s">
        <v>34</v>
      </c>
      <c r="T49" s="4" t="s">
        <v>134</v>
      </c>
    </row>
    <row r="50" spans="1:20" ht="28">
      <c r="A50" s="5">
        <v>46</v>
      </c>
      <c r="B50" s="4" t="s">
        <v>541</v>
      </c>
      <c r="C50" s="5" t="s">
        <v>104</v>
      </c>
      <c r="D50" s="5" t="s">
        <v>105</v>
      </c>
      <c r="E50" s="4" t="s">
        <v>498</v>
      </c>
      <c r="F50" s="4" t="s">
        <v>542</v>
      </c>
      <c r="G50" s="5" t="s">
        <v>108</v>
      </c>
      <c r="H50" s="5" t="s">
        <v>427</v>
      </c>
      <c r="I50" s="4" t="s">
        <v>428</v>
      </c>
      <c r="J50" s="4" t="s">
        <v>429</v>
      </c>
      <c r="K50" s="4" t="s">
        <v>430</v>
      </c>
      <c r="L50" s="4" t="s">
        <v>431</v>
      </c>
      <c r="M50" s="4" t="s">
        <v>543</v>
      </c>
      <c r="N50" s="4" t="s">
        <v>544</v>
      </c>
      <c r="O50" s="4" t="s">
        <v>434</v>
      </c>
      <c r="P50" s="4" t="s">
        <v>435</v>
      </c>
      <c r="Q50" s="4" t="s">
        <v>436</v>
      </c>
      <c r="R50" s="4" t="s">
        <v>437</v>
      </c>
      <c r="S50" s="7" t="s">
        <v>34</v>
      </c>
      <c r="T50" s="4" t="s">
        <v>134</v>
      </c>
    </row>
    <row r="51" spans="1:20" ht="28">
      <c r="A51" s="5">
        <v>47</v>
      </c>
      <c r="B51" s="4" t="s">
        <v>545</v>
      </c>
      <c r="C51" s="5" t="s">
        <v>199</v>
      </c>
      <c r="D51" s="5" t="s">
        <v>136</v>
      </c>
      <c r="E51" s="4" t="s">
        <v>498</v>
      </c>
      <c r="F51" s="4" t="s">
        <v>546</v>
      </c>
      <c r="G51" s="5" t="s">
        <v>108</v>
      </c>
      <c r="H51" s="5" t="s">
        <v>427</v>
      </c>
      <c r="I51" s="4" t="s">
        <v>440</v>
      </c>
      <c r="J51" s="4" t="s">
        <v>441</v>
      </c>
      <c r="K51" s="4" t="s">
        <v>442</v>
      </c>
      <c r="L51" s="4" t="s">
        <v>443</v>
      </c>
      <c r="M51" s="4" t="s">
        <v>547</v>
      </c>
      <c r="N51" s="4" t="s">
        <v>548</v>
      </c>
      <c r="O51" s="4" t="s">
        <v>446</v>
      </c>
      <c r="P51" s="4" t="s">
        <v>447</v>
      </c>
      <c r="Q51" s="4" t="s">
        <v>448</v>
      </c>
      <c r="R51" s="4" t="s">
        <v>449</v>
      </c>
      <c r="S51" s="7" t="s">
        <v>36</v>
      </c>
      <c r="T51" s="4" t="s">
        <v>120</v>
      </c>
    </row>
    <row r="52" spans="1:20" ht="28">
      <c r="A52" s="5">
        <v>48</v>
      </c>
      <c r="B52" s="4" t="s">
        <v>549</v>
      </c>
      <c r="C52" s="5" t="s">
        <v>104</v>
      </c>
      <c r="D52" s="5" t="s">
        <v>105</v>
      </c>
      <c r="E52" s="4" t="s">
        <v>498</v>
      </c>
      <c r="F52" s="4" t="s">
        <v>550</v>
      </c>
      <c r="G52" s="5" t="s">
        <v>138</v>
      </c>
      <c r="H52" s="5" t="s">
        <v>452</v>
      </c>
      <c r="I52" s="4" t="s">
        <v>453</v>
      </c>
      <c r="J52" s="4" t="s">
        <v>454</v>
      </c>
      <c r="K52" s="4" t="s">
        <v>455</v>
      </c>
      <c r="L52" s="4" t="s">
        <v>456</v>
      </c>
      <c r="M52" s="4" t="s">
        <v>457</v>
      </c>
      <c r="N52" s="4" t="s">
        <v>551</v>
      </c>
      <c r="O52" s="4" t="s">
        <v>459</v>
      </c>
      <c r="P52" s="4" t="s">
        <v>460</v>
      </c>
      <c r="Q52" s="4" t="s">
        <v>461</v>
      </c>
      <c r="R52" s="4" t="s">
        <v>462</v>
      </c>
      <c r="S52" s="7" t="s">
        <v>34</v>
      </c>
      <c r="T52" s="4" t="s">
        <v>134</v>
      </c>
    </row>
    <row r="53" spans="1:20" ht="42">
      <c r="A53" s="5">
        <v>49</v>
      </c>
      <c r="B53" s="4" t="s">
        <v>552</v>
      </c>
      <c r="C53" s="5" t="s">
        <v>104</v>
      </c>
      <c r="D53" s="5" t="s">
        <v>105</v>
      </c>
      <c r="E53" s="4" t="s">
        <v>498</v>
      </c>
      <c r="F53" s="4" t="s">
        <v>553</v>
      </c>
      <c r="G53" s="5" t="s">
        <v>138</v>
      </c>
      <c r="H53" s="5" t="s">
        <v>465</v>
      </c>
      <c r="I53" s="4" t="s">
        <v>466</v>
      </c>
      <c r="J53" s="4" t="s">
        <v>467</v>
      </c>
      <c r="K53" s="4" t="s">
        <v>455</v>
      </c>
      <c r="L53" s="4" t="s">
        <v>468</v>
      </c>
      <c r="M53" s="4" t="s">
        <v>469</v>
      </c>
      <c r="N53" s="4" t="s">
        <v>554</v>
      </c>
      <c r="O53" s="4" t="s">
        <v>471</v>
      </c>
      <c r="P53" s="4" t="s">
        <v>472</v>
      </c>
      <c r="Q53" s="4" t="s">
        <v>473</v>
      </c>
      <c r="R53" s="4" t="s">
        <v>474</v>
      </c>
      <c r="S53" s="7" t="s">
        <v>38</v>
      </c>
      <c r="T53" s="4" t="s">
        <v>211</v>
      </c>
    </row>
    <row r="54" spans="1:20" ht="28">
      <c r="A54" s="5">
        <v>50</v>
      </c>
      <c r="B54" s="4" t="s">
        <v>555</v>
      </c>
      <c r="C54" s="5" t="s">
        <v>104</v>
      </c>
      <c r="D54" s="5" t="s">
        <v>136</v>
      </c>
      <c r="E54" s="4" t="s">
        <v>498</v>
      </c>
      <c r="F54" s="4" t="s">
        <v>556</v>
      </c>
      <c r="G54" s="5" t="s">
        <v>138</v>
      </c>
      <c r="H54" s="5" t="s">
        <v>139</v>
      </c>
      <c r="I54" s="4" t="s">
        <v>477</v>
      </c>
      <c r="J54" s="4" t="s">
        <v>478</v>
      </c>
      <c r="K54" s="4" t="s">
        <v>154</v>
      </c>
      <c r="L54" s="4" t="s">
        <v>479</v>
      </c>
      <c r="M54" s="4" t="s">
        <v>543</v>
      </c>
      <c r="N54" s="4" t="s">
        <v>557</v>
      </c>
      <c r="O54" s="4" t="s">
        <v>481</v>
      </c>
      <c r="P54" s="4" t="s">
        <v>482</v>
      </c>
      <c r="Q54" s="4" t="s">
        <v>483</v>
      </c>
      <c r="R54" s="4" t="s">
        <v>484</v>
      </c>
      <c r="S54" s="7" t="s">
        <v>34</v>
      </c>
      <c r="T54" s="4" t="s">
        <v>134</v>
      </c>
    </row>
    <row r="55" spans="1:20" ht="42">
      <c r="A55" s="5">
        <v>51</v>
      </c>
      <c r="B55" s="4" t="s">
        <v>558</v>
      </c>
      <c r="C55" s="5" t="s">
        <v>104</v>
      </c>
      <c r="D55" s="5" t="s">
        <v>136</v>
      </c>
      <c r="E55" s="4" t="s">
        <v>498</v>
      </c>
      <c r="F55" s="4" t="s">
        <v>559</v>
      </c>
      <c r="G55" s="5" t="s">
        <v>138</v>
      </c>
      <c r="H55" s="5" t="s">
        <v>487</v>
      </c>
      <c r="I55" s="4" t="s">
        <v>488</v>
      </c>
      <c r="J55" s="4" t="s">
        <v>489</v>
      </c>
      <c r="K55" s="4" t="s">
        <v>154</v>
      </c>
      <c r="L55" s="4" t="s">
        <v>490</v>
      </c>
      <c r="M55" s="4" t="s">
        <v>560</v>
      </c>
      <c r="N55" s="4" t="s">
        <v>561</v>
      </c>
      <c r="O55" s="4" t="s">
        <v>493</v>
      </c>
      <c r="P55" s="4" t="s">
        <v>494</v>
      </c>
      <c r="Q55" s="4" t="s">
        <v>495</v>
      </c>
      <c r="R55" s="4" t="s">
        <v>496</v>
      </c>
      <c r="S55" s="7" t="s">
        <v>36</v>
      </c>
      <c r="T55" s="4" t="s">
        <v>120</v>
      </c>
    </row>
    <row r="56" spans="1:20" ht="42">
      <c r="A56" s="5">
        <v>52</v>
      </c>
      <c r="B56" s="4" t="s">
        <v>562</v>
      </c>
      <c r="C56" s="5" t="s">
        <v>312</v>
      </c>
      <c r="D56" s="5" t="s">
        <v>313</v>
      </c>
      <c r="E56" s="4" t="s">
        <v>563</v>
      </c>
      <c r="F56" s="4" t="s">
        <v>564</v>
      </c>
      <c r="G56" s="5" t="s">
        <v>108</v>
      </c>
      <c r="H56" s="5" t="s">
        <v>565</v>
      </c>
      <c r="I56" s="4" t="s">
        <v>566</v>
      </c>
      <c r="J56" s="4" t="s">
        <v>567</v>
      </c>
      <c r="K56" s="4" t="s">
        <v>568</v>
      </c>
      <c r="L56" s="4" t="s">
        <v>569</v>
      </c>
      <c r="M56" s="4" t="s">
        <v>570</v>
      </c>
      <c r="N56" s="4" t="s">
        <v>571</v>
      </c>
      <c r="O56" s="4" t="s">
        <v>572</v>
      </c>
      <c r="P56" s="4" t="s">
        <v>573</v>
      </c>
      <c r="Q56" s="4" t="s">
        <v>574</v>
      </c>
      <c r="R56" s="4" t="s">
        <v>575</v>
      </c>
      <c r="S56" s="7" t="s">
        <v>38</v>
      </c>
      <c r="T56" s="4" t="s">
        <v>211</v>
      </c>
    </row>
    <row r="57" spans="1:20" ht="42">
      <c r="A57" s="5">
        <v>53</v>
      </c>
      <c r="B57" s="4" t="s">
        <v>576</v>
      </c>
      <c r="C57" s="5" t="s">
        <v>312</v>
      </c>
      <c r="D57" s="5" t="s">
        <v>313</v>
      </c>
      <c r="E57" s="4" t="s">
        <v>563</v>
      </c>
      <c r="F57" s="4" t="s">
        <v>577</v>
      </c>
      <c r="G57" s="5" t="s">
        <v>138</v>
      </c>
      <c r="H57" s="5" t="s">
        <v>139</v>
      </c>
      <c r="I57" s="4" t="s">
        <v>271</v>
      </c>
      <c r="J57" s="4" t="s">
        <v>281</v>
      </c>
      <c r="K57" s="4" t="s">
        <v>154</v>
      </c>
      <c r="L57" s="4" t="s">
        <v>578</v>
      </c>
      <c r="M57" s="4" t="s">
        <v>579</v>
      </c>
      <c r="N57" s="4" t="s">
        <v>580</v>
      </c>
      <c r="O57" s="4" t="s">
        <v>581</v>
      </c>
      <c r="P57" s="4" t="s">
        <v>582</v>
      </c>
      <c r="Q57" s="4" t="s">
        <v>583</v>
      </c>
      <c r="R57" s="4" t="s">
        <v>584</v>
      </c>
      <c r="S57" s="7" t="s">
        <v>38</v>
      </c>
      <c r="T57" s="4" t="s">
        <v>211</v>
      </c>
    </row>
    <row r="58" spans="1:20" ht="42">
      <c r="A58" s="5">
        <v>54</v>
      </c>
      <c r="B58" s="4" t="s">
        <v>585</v>
      </c>
      <c r="C58" s="5" t="s">
        <v>199</v>
      </c>
      <c r="D58" s="5" t="s">
        <v>136</v>
      </c>
      <c r="E58" s="4" t="s">
        <v>586</v>
      </c>
      <c r="F58" s="4" t="s">
        <v>587</v>
      </c>
      <c r="G58" s="5" t="s">
        <v>108</v>
      </c>
      <c r="H58" s="5" t="s">
        <v>588</v>
      </c>
      <c r="I58" s="4" t="s">
        <v>589</v>
      </c>
      <c r="J58" s="4" t="s">
        <v>590</v>
      </c>
      <c r="K58" s="4" t="s">
        <v>591</v>
      </c>
      <c r="L58" s="4" t="s">
        <v>592</v>
      </c>
      <c r="M58" s="4" t="s">
        <v>593</v>
      </c>
      <c r="N58" s="4" t="s">
        <v>594</v>
      </c>
      <c r="O58" s="4" t="s">
        <v>595</v>
      </c>
      <c r="P58" s="4" t="s">
        <v>596</v>
      </c>
      <c r="Q58" s="4" t="s">
        <v>597</v>
      </c>
      <c r="R58" s="4" t="s">
        <v>598</v>
      </c>
      <c r="S58" s="7" t="s">
        <v>38</v>
      </c>
      <c r="T58" s="4" t="s">
        <v>211</v>
      </c>
    </row>
  </sheetData>
  <mergeCells count="2">
    <mergeCell ref="A1:T1"/>
    <mergeCell ref="A2:T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zoomScale="150" workbookViewId="0">
      <selection activeCell="D10" sqref="D10"/>
    </sheetView>
  </sheetViews>
  <sheetFormatPr baseColWidth="10" defaultColWidth="8.83203125" defaultRowHeight="14"/>
  <cols>
    <col min="1" max="1" width="15.33203125" customWidth="1"/>
    <col min="2" max="2" width="31.33203125" customWidth="1"/>
    <col min="3" max="3" width="10.5" customWidth="1"/>
    <col min="4" max="4" width="21.5" customWidth="1"/>
    <col min="5" max="5" width="26.33203125" customWidth="1"/>
    <col min="6" max="6" width="51" customWidth="1"/>
  </cols>
  <sheetData>
    <row r="1" spans="1:6" ht="30" customHeight="1">
      <c r="A1" s="8" t="s">
        <v>599</v>
      </c>
      <c r="B1" s="8" t="s">
        <v>599</v>
      </c>
      <c r="C1" s="8" t="s">
        <v>599</v>
      </c>
      <c r="D1" s="8" t="s">
        <v>599</v>
      </c>
      <c r="E1" s="8" t="s">
        <v>599</v>
      </c>
      <c r="F1" s="8" t="s">
        <v>599</v>
      </c>
    </row>
    <row r="2" spans="1:6" ht="34.5" customHeight="1">
      <c r="A2" s="9" t="s">
        <v>600</v>
      </c>
      <c r="B2" s="10"/>
      <c r="C2" s="10"/>
      <c r="D2" s="10"/>
      <c r="E2" s="10"/>
      <c r="F2" s="10"/>
    </row>
    <row r="3" spans="1:6">
      <c r="A3" s="1"/>
      <c r="B3" s="1"/>
      <c r="C3" s="1"/>
      <c r="D3" s="1"/>
      <c r="E3" s="1"/>
      <c r="F3" s="1"/>
    </row>
    <row r="4" spans="1:6" ht="31.5" customHeight="1">
      <c r="A4" s="3" t="s">
        <v>601</v>
      </c>
      <c r="B4" s="3" t="s">
        <v>602</v>
      </c>
      <c r="C4" s="3" t="s">
        <v>603</v>
      </c>
      <c r="D4" s="3" t="s">
        <v>604</v>
      </c>
      <c r="E4" s="3" t="s">
        <v>605</v>
      </c>
      <c r="F4" s="3" t="s">
        <v>15</v>
      </c>
    </row>
    <row r="5" spans="1:6" ht="30" customHeight="1">
      <c r="A5" s="4" t="s">
        <v>606</v>
      </c>
      <c r="B5" s="4" t="s">
        <v>607</v>
      </c>
      <c r="C5" s="4" t="s">
        <v>608</v>
      </c>
      <c r="D5" s="4" t="s">
        <v>609</v>
      </c>
      <c r="E5" s="4" t="s">
        <v>610</v>
      </c>
      <c r="F5" s="4" t="s">
        <v>611</v>
      </c>
    </row>
    <row r="6" spans="1:6" ht="30" customHeight="1">
      <c r="A6" s="4" t="s">
        <v>606</v>
      </c>
      <c r="B6" s="4" t="s">
        <v>612</v>
      </c>
      <c r="C6" s="4" t="s">
        <v>608</v>
      </c>
      <c r="D6" s="4" t="s">
        <v>126</v>
      </c>
      <c r="E6" s="4" t="s">
        <v>610</v>
      </c>
      <c r="F6" s="4" t="s">
        <v>613</v>
      </c>
    </row>
    <row r="7" spans="1:6" ht="30" customHeight="1">
      <c r="A7" s="4" t="s">
        <v>606</v>
      </c>
      <c r="B7" s="4" t="s">
        <v>614</v>
      </c>
      <c r="C7" s="4" t="s">
        <v>608</v>
      </c>
      <c r="D7" s="4" t="s">
        <v>609</v>
      </c>
      <c r="E7" s="4" t="s">
        <v>610</v>
      </c>
      <c r="F7" s="4" t="s">
        <v>615</v>
      </c>
    </row>
    <row r="8" spans="1:6" ht="30" customHeight="1">
      <c r="A8" s="4" t="s">
        <v>606</v>
      </c>
      <c r="B8" s="4" t="s">
        <v>616</v>
      </c>
      <c r="C8" s="4" t="s">
        <v>608</v>
      </c>
      <c r="D8" s="4" t="s">
        <v>609</v>
      </c>
      <c r="E8" s="4" t="s">
        <v>610</v>
      </c>
      <c r="F8" s="4" t="s">
        <v>176</v>
      </c>
    </row>
    <row r="9" spans="1:6" ht="30" customHeight="1">
      <c r="A9" s="4" t="s">
        <v>606</v>
      </c>
      <c r="B9" s="4" t="s">
        <v>617</v>
      </c>
      <c r="C9" s="4" t="s">
        <v>608</v>
      </c>
      <c r="D9" s="4" t="s">
        <v>618</v>
      </c>
      <c r="E9" s="4" t="s">
        <v>263</v>
      </c>
      <c r="F9" s="4" t="s">
        <v>619</v>
      </c>
    </row>
    <row r="10" spans="1:6" ht="30" customHeight="1">
      <c r="A10" s="4" t="s">
        <v>606</v>
      </c>
      <c r="B10" s="4" t="s">
        <v>620</v>
      </c>
      <c r="C10" s="4" t="s">
        <v>608</v>
      </c>
      <c r="D10" s="4" t="s">
        <v>814</v>
      </c>
      <c r="E10" s="4" t="s">
        <v>621</v>
      </c>
      <c r="F10" s="4" t="s">
        <v>622</v>
      </c>
    </row>
    <row r="11" spans="1:6" ht="30" customHeight="1">
      <c r="A11" s="4" t="s">
        <v>606</v>
      </c>
      <c r="B11" s="4" t="s">
        <v>623</v>
      </c>
      <c r="C11" s="4" t="s">
        <v>608</v>
      </c>
      <c r="D11" s="4" t="s">
        <v>609</v>
      </c>
      <c r="E11" s="4" t="s">
        <v>624</v>
      </c>
      <c r="F11" s="4" t="s">
        <v>625</v>
      </c>
    </row>
    <row r="12" spans="1:6" ht="30" customHeight="1">
      <c r="A12" s="4" t="s">
        <v>606</v>
      </c>
      <c r="B12" s="4" t="s">
        <v>626</v>
      </c>
      <c r="C12" s="4" t="s">
        <v>608</v>
      </c>
      <c r="D12" s="4" t="s">
        <v>627</v>
      </c>
      <c r="E12" s="4" t="s">
        <v>628</v>
      </c>
      <c r="F12" s="4" t="s">
        <v>629</v>
      </c>
    </row>
    <row r="13" spans="1:6" ht="30" customHeight="1">
      <c r="A13" s="4" t="s">
        <v>606</v>
      </c>
      <c r="B13" s="4" t="s">
        <v>630</v>
      </c>
      <c r="C13" s="4" t="s">
        <v>608</v>
      </c>
      <c r="D13" s="4" t="s">
        <v>609</v>
      </c>
      <c r="E13" s="4" t="s">
        <v>631</v>
      </c>
      <c r="F13" s="4" t="s">
        <v>632</v>
      </c>
    </row>
    <row r="14" spans="1:6" ht="30" customHeight="1">
      <c r="A14" s="4" t="s">
        <v>606</v>
      </c>
      <c r="B14" s="4" t="s">
        <v>633</v>
      </c>
      <c r="C14" s="4" t="s">
        <v>608</v>
      </c>
      <c r="D14" s="4" t="s">
        <v>609</v>
      </c>
      <c r="E14" s="4" t="s">
        <v>634</v>
      </c>
      <c r="F14" s="4" t="s">
        <v>635</v>
      </c>
    </row>
    <row r="15" spans="1:6" ht="30" customHeight="1">
      <c r="A15" s="4" t="s">
        <v>606</v>
      </c>
      <c r="B15" s="4" t="s">
        <v>636</v>
      </c>
      <c r="C15" s="4" t="s">
        <v>608</v>
      </c>
      <c r="D15" s="4" t="s">
        <v>813</v>
      </c>
      <c r="E15" s="4" t="s">
        <v>637</v>
      </c>
      <c r="F15" s="4" t="s">
        <v>638</v>
      </c>
    </row>
    <row r="16" spans="1:6" ht="30" customHeight="1">
      <c r="A16" s="4" t="s">
        <v>639</v>
      </c>
      <c r="B16" s="4" t="s">
        <v>640</v>
      </c>
      <c r="C16" s="4" t="s">
        <v>641</v>
      </c>
      <c r="D16" s="4" t="s">
        <v>642</v>
      </c>
      <c r="E16" s="4" t="s">
        <v>643</v>
      </c>
      <c r="F16" s="4" t="s">
        <v>644</v>
      </c>
    </row>
    <row r="17" spans="1:6" ht="30" customHeight="1">
      <c r="A17" s="4" t="s">
        <v>639</v>
      </c>
      <c r="B17" s="4" t="s">
        <v>645</v>
      </c>
      <c r="C17" s="4" t="s">
        <v>641</v>
      </c>
      <c r="D17" s="4" t="s">
        <v>642</v>
      </c>
      <c r="E17" s="4" t="s">
        <v>646</v>
      </c>
      <c r="F17" s="4" t="s">
        <v>647</v>
      </c>
    </row>
    <row r="18" spans="1:6" ht="30" customHeight="1">
      <c r="A18" s="4" t="s">
        <v>639</v>
      </c>
      <c r="B18" s="4" t="s">
        <v>648</v>
      </c>
      <c r="C18" s="4" t="s">
        <v>641</v>
      </c>
      <c r="D18" s="4" t="s">
        <v>642</v>
      </c>
      <c r="E18" s="4" t="s">
        <v>649</v>
      </c>
      <c r="F18" s="4" t="s">
        <v>650</v>
      </c>
    </row>
    <row r="19" spans="1:6" ht="30" customHeight="1">
      <c r="A19" s="4" t="s">
        <v>639</v>
      </c>
      <c r="B19" s="4" t="s">
        <v>651</v>
      </c>
      <c r="C19" s="4" t="s">
        <v>641</v>
      </c>
      <c r="D19" s="4" t="s">
        <v>642</v>
      </c>
      <c r="E19" s="4" t="s">
        <v>652</v>
      </c>
      <c r="F19" s="4" t="s">
        <v>653</v>
      </c>
    </row>
    <row r="20" spans="1:6" ht="30" customHeight="1">
      <c r="A20" s="4" t="s">
        <v>654</v>
      </c>
      <c r="B20" s="4" t="s">
        <v>655</v>
      </c>
      <c r="C20" s="4" t="s">
        <v>656</v>
      </c>
      <c r="D20" s="4" t="s">
        <v>455</v>
      </c>
      <c r="E20" s="4" t="s">
        <v>657</v>
      </c>
      <c r="F20" s="4" t="s">
        <v>658</v>
      </c>
    </row>
    <row r="21" spans="1:6" ht="30" customHeight="1">
      <c r="A21" s="4" t="s">
        <v>654</v>
      </c>
      <c r="B21" s="4" t="s">
        <v>659</v>
      </c>
      <c r="C21" s="4" t="s">
        <v>656</v>
      </c>
      <c r="D21" s="4" t="s">
        <v>455</v>
      </c>
      <c r="E21" s="4" t="s">
        <v>660</v>
      </c>
      <c r="F21" s="4" t="s">
        <v>661</v>
      </c>
    </row>
    <row r="22" spans="1:6" ht="30" customHeight="1">
      <c r="A22" s="4" t="s">
        <v>654</v>
      </c>
      <c r="B22" s="4" t="s">
        <v>662</v>
      </c>
      <c r="C22" s="4" t="s">
        <v>656</v>
      </c>
      <c r="D22" s="4" t="s">
        <v>154</v>
      </c>
      <c r="E22" s="4" t="s">
        <v>663</v>
      </c>
      <c r="F22" s="4" t="s">
        <v>664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zoomScale="126" workbookViewId="0">
      <selection activeCell="E8" sqref="E8"/>
    </sheetView>
  </sheetViews>
  <sheetFormatPr baseColWidth="10" defaultColWidth="8.83203125" defaultRowHeight="14"/>
  <cols>
    <col min="1" max="1" width="10.5" customWidth="1"/>
    <col min="2" max="2" width="21.5" customWidth="1"/>
    <col min="3" max="3" width="46" customWidth="1"/>
    <col min="4" max="4" width="42.33203125" customWidth="1"/>
    <col min="5" max="5" width="43.5" customWidth="1"/>
  </cols>
  <sheetData>
    <row r="1" spans="1:5" ht="30" customHeight="1">
      <c r="A1" s="8" t="s">
        <v>665</v>
      </c>
      <c r="B1" s="8" t="s">
        <v>665</v>
      </c>
      <c r="C1" s="8" t="s">
        <v>665</v>
      </c>
      <c r="D1" s="8" t="s">
        <v>665</v>
      </c>
      <c r="E1" s="8" t="s">
        <v>665</v>
      </c>
    </row>
    <row r="2" spans="1:5" ht="34.5" customHeight="1">
      <c r="A2" s="9" t="s">
        <v>666</v>
      </c>
      <c r="B2" s="10"/>
      <c r="C2" s="10"/>
      <c r="D2" s="10"/>
      <c r="E2" s="10"/>
    </row>
    <row r="3" spans="1:5">
      <c r="A3" s="1"/>
      <c r="B3" s="1"/>
      <c r="C3" s="1"/>
      <c r="D3" s="1"/>
      <c r="E3" s="1"/>
    </row>
    <row r="4" spans="1:5" ht="31.5" customHeight="1">
      <c r="A4" s="3" t="s">
        <v>667</v>
      </c>
      <c r="B4" s="3" t="s">
        <v>668</v>
      </c>
      <c r="C4" s="3" t="s">
        <v>669</v>
      </c>
      <c r="D4" s="3" t="s">
        <v>670</v>
      </c>
      <c r="E4" s="3" t="s">
        <v>63</v>
      </c>
    </row>
    <row r="5" spans="1:5" ht="30" customHeight="1">
      <c r="A5" s="4" t="s">
        <v>671</v>
      </c>
      <c r="B5" s="4" t="s">
        <v>672</v>
      </c>
      <c r="C5" s="4" t="s">
        <v>673</v>
      </c>
      <c r="D5" s="4" t="s">
        <v>674</v>
      </c>
      <c r="E5" s="4" t="s">
        <v>675</v>
      </c>
    </row>
    <row r="6" spans="1:5" ht="30" customHeight="1">
      <c r="A6" s="4" t="s">
        <v>676</v>
      </c>
      <c r="B6" s="4" t="s">
        <v>677</v>
      </c>
      <c r="C6" s="4" t="s">
        <v>678</v>
      </c>
      <c r="D6" s="4" t="s">
        <v>679</v>
      </c>
      <c r="E6" s="4" t="s">
        <v>680</v>
      </c>
    </row>
    <row r="7" spans="1:5" ht="30" customHeight="1">
      <c r="A7" s="4" t="s">
        <v>681</v>
      </c>
      <c r="B7" s="4" t="s">
        <v>682</v>
      </c>
      <c r="C7" s="4" t="s">
        <v>683</v>
      </c>
      <c r="D7" s="4" t="s">
        <v>684</v>
      </c>
      <c r="E7" s="4" t="s">
        <v>685</v>
      </c>
    </row>
    <row r="8" spans="1:5" ht="30" customHeight="1">
      <c r="A8" s="4" t="s">
        <v>686</v>
      </c>
      <c r="B8" s="4" t="s">
        <v>687</v>
      </c>
      <c r="C8" s="4" t="s">
        <v>688</v>
      </c>
      <c r="D8" s="4" t="s">
        <v>689</v>
      </c>
      <c r="E8" s="4" t="s">
        <v>690</v>
      </c>
    </row>
    <row r="9" spans="1:5" ht="30" customHeight="1">
      <c r="A9" s="4" t="s">
        <v>691</v>
      </c>
      <c r="B9" s="4" t="s">
        <v>692</v>
      </c>
      <c r="C9" s="4" t="s">
        <v>693</v>
      </c>
      <c r="D9" s="4" t="s">
        <v>694</v>
      </c>
      <c r="E9" s="4" t="s">
        <v>695</v>
      </c>
    </row>
    <row r="10" spans="1:5" ht="30" customHeight="1">
      <c r="A10" s="4" t="s">
        <v>696</v>
      </c>
      <c r="B10" s="4" t="s">
        <v>697</v>
      </c>
      <c r="C10" s="4" t="s">
        <v>698</v>
      </c>
      <c r="D10" s="4" t="s">
        <v>699</v>
      </c>
      <c r="E10" s="15" t="s">
        <v>816</v>
      </c>
    </row>
    <row r="11" spans="1:5" ht="30" customHeight="1">
      <c r="A11" s="4" t="s">
        <v>700</v>
      </c>
      <c r="B11" s="4" t="s">
        <v>701</v>
      </c>
      <c r="C11" s="4" t="s">
        <v>702</v>
      </c>
      <c r="D11" s="4" t="s">
        <v>703</v>
      </c>
      <c r="E11" s="4" t="s">
        <v>704</v>
      </c>
    </row>
    <row r="12" spans="1:5" ht="30" customHeight="1">
      <c r="A12" s="4" t="s">
        <v>705</v>
      </c>
      <c r="B12" s="4" t="s">
        <v>706</v>
      </c>
      <c r="C12" s="4" t="s">
        <v>707</v>
      </c>
      <c r="D12" s="4" t="s">
        <v>708</v>
      </c>
      <c r="E12" s="4" t="s">
        <v>709</v>
      </c>
    </row>
    <row r="13" spans="1:5" ht="30" customHeight="1">
      <c r="A13" s="4" t="s">
        <v>710</v>
      </c>
      <c r="B13" s="4" t="s">
        <v>711</v>
      </c>
      <c r="C13" s="4" t="s">
        <v>712</v>
      </c>
      <c r="D13" s="4" t="s">
        <v>713</v>
      </c>
      <c r="E13" s="4" t="s">
        <v>714</v>
      </c>
    </row>
    <row r="14" spans="1:5" ht="30" customHeight="1">
      <c r="A14" s="4" t="s">
        <v>715</v>
      </c>
      <c r="B14" s="4" t="s">
        <v>716</v>
      </c>
      <c r="C14" s="4" t="s">
        <v>717</v>
      </c>
      <c r="D14" s="4" t="s">
        <v>718</v>
      </c>
      <c r="E14" s="4" t="s">
        <v>719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topLeftCell="B1" zoomScale="161" zoomScaleNormal="161" workbookViewId="0">
      <selection activeCell="B8" sqref="B8"/>
    </sheetView>
  </sheetViews>
  <sheetFormatPr baseColWidth="10" defaultColWidth="8.83203125" defaultRowHeight="14"/>
  <cols>
    <col min="1" max="1" width="11.6640625" customWidth="1"/>
    <col min="2" max="2" width="12.83203125" customWidth="1"/>
    <col min="3" max="3" width="36.1640625" customWidth="1"/>
    <col min="4" max="4" width="31.33203125" customWidth="1"/>
    <col min="5" max="5" width="46" customWidth="1"/>
    <col min="6" max="6" width="26.33203125" customWidth="1"/>
  </cols>
  <sheetData>
    <row r="1" spans="1:6" ht="30" customHeight="1">
      <c r="A1" s="8" t="s">
        <v>720</v>
      </c>
      <c r="B1" s="8" t="s">
        <v>720</v>
      </c>
      <c r="C1" s="8" t="s">
        <v>720</v>
      </c>
      <c r="D1" s="8" t="s">
        <v>720</v>
      </c>
      <c r="E1" s="8" t="s">
        <v>720</v>
      </c>
      <c r="F1" s="8" t="s">
        <v>720</v>
      </c>
    </row>
    <row r="2" spans="1:6" ht="34.5" customHeight="1">
      <c r="A2" s="9" t="s">
        <v>721</v>
      </c>
      <c r="B2" s="10"/>
      <c r="C2" s="10"/>
      <c r="D2" s="10"/>
      <c r="E2" s="10"/>
      <c r="F2" s="10"/>
    </row>
    <row r="3" spans="1:6">
      <c r="A3" s="1"/>
      <c r="B3" s="1"/>
      <c r="C3" s="1"/>
      <c r="D3" s="1"/>
      <c r="E3" s="1"/>
      <c r="F3" s="1"/>
    </row>
    <row r="4" spans="1:6" ht="31.5" customHeight="1">
      <c r="A4" s="3" t="s">
        <v>722</v>
      </c>
      <c r="B4" s="3" t="s">
        <v>723</v>
      </c>
      <c r="C4" s="3" t="s">
        <v>724</v>
      </c>
      <c r="D4" s="3" t="s">
        <v>725</v>
      </c>
      <c r="E4" s="3" t="s">
        <v>726</v>
      </c>
      <c r="F4" s="3" t="s">
        <v>727</v>
      </c>
    </row>
    <row r="5" spans="1:6" ht="30" customHeight="1">
      <c r="A5" s="4" t="s">
        <v>728</v>
      </c>
      <c r="B5" s="4" t="s">
        <v>729</v>
      </c>
      <c r="C5" s="4" t="s">
        <v>730</v>
      </c>
      <c r="D5" s="4" t="s">
        <v>731</v>
      </c>
      <c r="E5" s="4" t="s">
        <v>732</v>
      </c>
      <c r="F5" s="4" t="s">
        <v>733</v>
      </c>
    </row>
    <row r="6" spans="1:6" ht="30" customHeight="1">
      <c r="A6" s="4" t="s">
        <v>734</v>
      </c>
      <c r="B6" s="4" t="s">
        <v>735</v>
      </c>
      <c r="C6" s="4" t="s">
        <v>736</v>
      </c>
      <c r="D6" s="4" t="s">
        <v>737</v>
      </c>
      <c r="E6" s="4" t="s">
        <v>738</v>
      </c>
      <c r="F6" s="4" t="s">
        <v>739</v>
      </c>
    </row>
    <row r="7" spans="1:6" ht="30" customHeight="1">
      <c r="A7" s="4" t="s">
        <v>740</v>
      </c>
      <c r="B7" s="4" t="s">
        <v>76</v>
      </c>
      <c r="C7" s="4" t="s">
        <v>741</v>
      </c>
      <c r="D7" s="4" t="s">
        <v>742</v>
      </c>
      <c r="E7" s="4" t="s">
        <v>743</v>
      </c>
      <c r="F7" s="4" t="s">
        <v>744</v>
      </c>
    </row>
    <row r="8" spans="1:6" ht="30" customHeight="1">
      <c r="A8" s="4" t="s">
        <v>745</v>
      </c>
      <c r="B8" s="4" t="s">
        <v>746</v>
      </c>
      <c r="C8" s="4" t="s">
        <v>747</v>
      </c>
      <c r="D8" s="4" t="s">
        <v>748</v>
      </c>
      <c r="E8" s="4" t="s">
        <v>749</v>
      </c>
      <c r="F8" s="4" t="s">
        <v>750</v>
      </c>
    </row>
    <row r="9" spans="1:6" ht="30" customHeight="1">
      <c r="A9" s="4" t="s">
        <v>751</v>
      </c>
      <c r="B9" s="4" t="s">
        <v>752</v>
      </c>
      <c r="C9" s="4" t="s">
        <v>753</v>
      </c>
      <c r="D9" s="4" t="s">
        <v>748</v>
      </c>
      <c r="E9" s="4" t="s">
        <v>754</v>
      </c>
      <c r="F9" s="4" t="s">
        <v>755</v>
      </c>
    </row>
    <row r="10" spans="1:6" ht="30" customHeight="1">
      <c r="A10" s="4" t="s">
        <v>756</v>
      </c>
      <c r="B10" s="4" t="s">
        <v>757</v>
      </c>
      <c r="C10" s="4" t="s">
        <v>741</v>
      </c>
      <c r="D10" s="4" t="s">
        <v>758</v>
      </c>
      <c r="E10" s="4" t="s">
        <v>759</v>
      </c>
      <c r="F10" s="4" t="s">
        <v>760</v>
      </c>
    </row>
    <row r="11" spans="1:6" ht="30" customHeight="1">
      <c r="A11" s="4" t="s">
        <v>761</v>
      </c>
      <c r="B11" s="4" t="s">
        <v>762</v>
      </c>
      <c r="C11" s="4" t="s">
        <v>763</v>
      </c>
      <c r="D11" s="4" t="s">
        <v>764</v>
      </c>
      <c r="E11" s="4" t="s">
        <v>765</v>
      </c>
      <c r="F11" s="4" t="s">
        <v>766</v>
      </c>
    </row>
    <row r="12" spans="1:6" ht="30" customHeight="1">
      <c r="A12" s="4" t="s">
        <v>767</v>
      </c>
      <c r="B12" s="4" t="s">
        <v>768</v>
      </c>
      <c r="C12" s="4" t="s">
        <v>769</v>
      </c>
      <c r="D12" s="4" t="s">
        <v>764</v>
      </c>
      <c r="E12" s="4" t="s">
        <v>770</v>
      </c>
      <c r="F12" s="4" t="s">
        <v>771</v>
      </c>
    </row>
    <row r="13" spans="1:6" ht="30" customHeight="1">
      <c r="A13" s="4" t="s">
        <v>772</v>
      </c>
      <c r="B13" s="4" t="s">
        <v>773</v>
      </c>
      <c r="C13" s="4" t="s">
        <v>774</v>
      </c>
      <c r="D13" s="4" t="s">
        <v>775</v>
      </c>
      <c r="E13" s="4" t="s">
        <v>776</v>
      </c>
      <c r="F13" s="4" t="s">
        <v>777</v>
      </c>
    </row>
    <row r="14" spans="1:6" ht="30" customHeight="1">
      <c r="A14" s="4" t="s">
        <v>778</v>
      </c>
      <c r="B14" s="4" t="s">
        <v>779</v>
      </c>
      <c r="C14" s="4" t="s">
        <v>780</v>
      </c>
      <c r="D14" s="4" t="s">
        <v>781</v>
      </c>
      <c r="E14" s="4" t="s">
        <v>782</v>
      </c>
      <c r="F14" s="4" t="s">
        <v>783</v>
      </c>
    </row>
    <row r="15" spans="1:6" ht="30" customHeight="1">
      <c r="A15" s="4" t="s">
        <v>784</v>
      </c>
      <c r="B15" s="4" t="s">
        <v>785</v>
      </c>
      <c r="C15" s="4" t="s">
        <v>786</v>
      </c>
      <c r="D15" s="4" t="s">
        <v>787</v>
      </c>
      <c r="E15" s="4" t="s">
        <v>788</v>
      </c>
      <c r="F15" s="4" t="s">
        <v>789</v>
      </c>
    </row>
    <row r="16" spans="1:6" ht="30" customHeight="1">
      <c r="A16" s="4" t="s">
        <v>790</v>
      </c>
      <c r="B16" s="4" t="s">
        <v>716</v>
      </c>
      <c r="C16" s="4" t="s">
        <v>791</v>
      </c>
      <c r="D16" s="4" t="s">
        <v>792</v>
      </c>
      <c r="E16" s="4" t="s">
        <v>793</v>
      </c>
      <c r="F16" s="4" t="s">
        <v>794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showGridLines="0" tabSelected="1" topLeftCell="A2" zoomScale="140" workbookViewId="0">
      <selection activeCell="B16" sqref="B16"/>
    </sheetView>
  </sheetViews>
  <sheetFormatPr baseColWidth="10" defaultColWidth="8.83203125" defaultRowHeight="14"/>
  <cols>
    <col min="1" max="1" width="21.5" customWidth="1"/>
    <col min="2" max="2" width="90.1640625" customWidth="1"/>
  </cols>
  <sheetData>
    <row r="1" spans="1:2" ht="30" customHeight="1">
      <c r="A1" s="8" t="s">
        <v>795</v>
      </c>
      <c r="B1" s="8" t="s">
        <v>795</v>
      </c>
    </row>
    <row r="2" spans="1:2" ht="34.5" customHeight="1">
      <c r="A2" s="9" t="s">
        <v>796</v>
      </c>
      <c r="B2" s="10"/>
    </row>
    <row r="3" spans="1:2">
      <c r="A3" s="1"/>
      <c r="B3" s="1"/>
    </row>
    <row r="4" spans="1:2" ht="31.5" customHeight="1">
      <c r="A4" s="3" t="s">
        <v>797</v>
      </c>
      <c r="B4" s="3" t="s">
        <v>798</v>
      </c>
    </row>
    <row r="5" spans="1:2" ht="30" customHeight="1">
      <c r="A5" s="4" t="s">
        <v>799</v>
      </c>
      <c r="B5" s="4" t="s">
        <v>800</v>
      </c>
    </row>
    <row r="6" spans="1:2" ht="30" customHeight="1">
      <c r="A6" s="4" t="s">
        <v>801</v>
      </c>
      <c r="B6" s="4" t="s">
        <v>802</v>
      </c>
    </row>
    <row r="7" spans="1:2" ht="30" customHeight="1">
      <c r="A7" s="4" t="s">
        <v>803</v>
      </c>
      <c r="B7" s="4" t="s">
        <v>804</v>
      </c>
    </row>
    <row r="8" spans="1:2" ht="30" customHeight="1">
      <c r="A8" s="4" t="s">
        <v>108</v>
      </c>
      <c r="B8" s="4" t="s">
        <v>805</v>
      </c>
    </row>
    <row r="9" spans="1:2" ht="30" customHeight="1">
      <c r="A9" s="4" t="s">
        <v>138</v>
      </c>
      <c r="B9" s="4" t="s">
        <v>806</v>
      </c>
    </row>
    <row r="10" spans="1:2" ht="30" customHeight="1">
      <c r="A10" s="4" t="s">
        <v>29</v>
      </c>
      <c r="B10" s="4" t="s">
        <v>807</v>
      </c>
    </row>
    <row r="11" spans="1:2" ht="30" customHeight="1">
      <c r="A11" s="4" t="s">
        <v>105</v>
      </c>
      <c r="B11" s="4" t="s">
        <v>808</v>
      </c>
    </row>
    <row r="12" spans="1:2" ht="30" customHeight="1">
      <c r="A12" s="4" t="s">
        <v>136</v>
      </c>
      <c r="B12" s="4" t="s">
        <v>809</v>
      </c>
    </row>
    <row r="13" spans="1:2" ht="30" customHeight="1">
      <c r="A13" s="4" t="s">
        <v>313</v>
      </c>
      <c r="B13" s="4" t="s">
        <v>810</v>
      </c>
    </row>
    <row r="14" spans="1:2" ht="30" customHeight="1">
      <c r="A14" s="4" t="s">
        <v>811</v>
      </c>
      <c r="B14" s="4" t="s">
        <v>812</v>
      </c>
    </row>
  </sheetData>
  <mergeCells count="2">
    <mergeCell ref="A1:B1"/>
    <mergeCell ref="A2:B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00_总览</vt:lpstr>
      <vt:lpstr>00_优先范围</vt:lpstr>
      <vt:lpstr>01_IO点表</vt:lpstr>
      <vt:lpstr>02_适配层字段建议</vt:lpstr>
      <vt:lpstr>03_安全与闭锁</vt:lpstr>
      <vt:lpstr>04_V1验收用例</vt:lpstr>
      <vt:lpstr>05_术语与取值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Haoran CHENG</cp:lastModifiedBy>
  <dcterms:modified xsi:type="dcterms:W3CDTF">2026-05-20T02:44:24Z</dcterms:modified>
</cp:coreProperties>
</file>